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ido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200 rpm" sheetId="3" state="visible" r:id="rId3"/>
    <sheet xmlns:r="http://schemas.openxmlformats.org/officeDocument/2006/relationships" name="400 rpm" sheetId="4" state="visible" r:id="rId4"/>
    <sheet xmlns:r="http://schemas.openxmlformats.org/officeDocument/2006/relationships" name="600 rpm" sheetId="5" state="visible" r:id="rId5"/>
    <sheet xmlns:r="http://schemas.openxmlformats.org/officeDocument/2006/relationships" name="800 rpm" sheetId="6" state="visible" r:id="rId6"/>
    <sheet xmlns:r="http://schemas.openxmlformats.org/officeDocument/2006/relationships" name="1000 rpm" sheetId="7" state="visible" r:id="rId7"/>
  </sheets>
  <definedNames>
    <definedName name="_xlnm._FilterDatabase" localSheetId="2" hidden="1">'200 rpm'!$A$8:$G$308</definedName>
    <definedName name="_xlnm._FilterDatabase" localSheetId="3" hidden="1">'400 rpm'!$A$8:$G$308</definedName>
    <definedName name="_xlnm._FilterDatabase" localSheetId="4" hidden="1">'600 rpm'!$A$8:$G$308</definedName>
    <definedName name="_xlnm._FilterDatabase" localSheetId="5" hidden="1">'800 rpm'!$A$8:$G$308</definedName>
    <definedName name="_xlnm._FilterDatabase" localSheetId="6" hidden="1">'1000 rpm'!$A$8:$G$308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4EFFA"/>
      </patternFill>
    </fill>
    <fill>
      <patternFill patternType="solid">
        <fgColor rgb="004E28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Barrido de kLa a 0.5 vvm y 30 L</a:t>
            </a:r>
          </a:p>
        </rich>
      </tx>
    </title>
    <plotArea>
      <scatterChart>
        <ser>
          <idx val="0"/>
          <order val="0"/>
          <tx>
            <v>kLa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'Barrido'!$A$2:$A$6</f>
            </numRef>
          </xVal>
          <yVal>
            <numRef>
              <f>'Barrido'!$B$2:$B$6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Agitación [rpm]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kLa [h⁻¹]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Reoxigenación</a:t>
            </a:r>
          </a:p>
        </rich>
      </tx>
    </title>
    <plotArea>
      <scatterChart>
        <ser>
          <idx val="0"/>
          <order val="0"/>
          <tx>
            <v>Reoxigenación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'200 rpm'!$A$9:$A$308</f>
            </numRef>
          </xVal>
          <yVal>
            <numRef>
              <f>'200 rpm'!$B$9:$B$308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Oxígeno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Ajuste: tramo seleccionado</a:t>
            </a:r>
          </a:p>
        </rich>
      </tx>
    </title>
    <plotArea>
      <scatterChart>
        <ser>
          <idx val="0"/>
          <order val="0"/>
          <tx>
            <v>Ajuste: tramo seleccionado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'200 rpm'!$F$9:$F$308</f>
            </numRef>
          </xVal>
          <yVal>
            <numRef>
              <f>'200 rpm'!$E$9:$E$308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Residuos</a:t>
            </a:r>
          </a:p>
        </rich>
      </tx>
    </title>
    <plotArea>
      <scatterChart>
        <ser>
          <idx val="0"/>
          <order val="0"/>
          <tx>
            <v>Residuos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'200 rpm'!$F$9:$F$308</f>
            </numRef>
          </xVal>
          <yVal>
            <numRef>
              <f>'200 rpm'!$G$9:$G$308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Residuo 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Reoxigenación</a:t>
            </a:r>
          </a:p>
        </rich>
      </tx>
    </title>
    <plotArea>
      <scatterChart>
        <ser>
          <idx val="0"/>
          <order val="0"/>
          <tx>
            <v>Reoxigenación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'400 rpm'!$A$9:$A$308</f>
            </numRef>
          </xVal>
          <yVal>
            <numRef>
              <f>'400 rpm'!$B$9:$B$308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Oxígeno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Ajuste: tramo seleccionado</a:t>
            </a:r>
          </a:p>
        </rich>
      </tx>
    </title>
    <plotArea>
      <scatterChart>
        <ser>
          <idx val="0"/>
          <order val="0"/>
          <tx>
            <v>Ajuste: tramo seleccionado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'400 rpm'!$F$9:$F$308</f>
            </numRef>
          </xVal>
          <yVal>
            <numRef>
              <f>'400 rpm'!$E$9:$E$308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Residuos</a:t>
            </a:r>
          </a:p>
        </rich>
      </tx>
    </title>
    <plotArea>
      <scatterChart>
        <ser>
          <idx val="0"/>
          <order val="0"/>
          <tx>
            <v>Residuos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'400 rpm'!$F$9:$F$308</f>
            </numRef>
          </xVal>
          <yVal>
            <numRef>
              <f>'400 rpm'!$G$9:$G$308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Residuo 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Reoxigenación</a:t>
            </a:r>
          </a:p>
        </rich>
      </tx>
    </title>
    <plotArea>
      <scatterChart>
        <ser>
          <idx val="0"/>
          <order val="0"/>
          <tx>
            <v>Reoxigenación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'600 rpm'!$A$9:$A$308</f>
            </numRef>
          </xVal>
          <yVal>
            <numRef>
              <f>'600 rpm'!$B$9:$B$308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Oxígeno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Ajuste: tramo seleccionado</a:t>
            </a:r>
          </a:p>
        </rich>
      </tx>
    </title>
    <plotArea>
      <scatterChart>
        <ser>
          <idx val="0"/>
          <order val="0"/>
          <tx>
            <v>Ajuste: tramo seleccionado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'600 rpm'!$F$9:$F$308</f>
            </numRef>
          </xVal>
          <yVal>
            <numRef>
              <f>'600 rpm'!$E$9:$E$308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Residuos</a:t>
            </a:r>
          </a:p>
        </rich>
      </tx>
    </title>
    <plotArea>
      <scatterChart>
        <ser>
          <idx val="0"/>
          <order val="0"/>
          <tx>
            <v>Residuos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'600 rpm'!$F$9:$F$308</f>
            </numRef>
          </xVal>
          <yVal>
            <numRef>
              <f>'600 rpm'!$G$9:$G$308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Residuo 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Reoxigenación</a:t>
            </a:r>
          </a:p>
        </rich>
      </tx>
    </title>
    <plotArea>
      <scatterChart>
        <ser>
          <idx val="0"/>
          <order val="0"/>
          <tx>
            <v>Reoxigenación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'800 rpm'!$A$9:$A$308</f>
            </numRef>
          </xVal>
          <yVal>
            <numRef>
              <f>'800 rpm'!$B$9:$B$308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Oxígeno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Ajuste: tramo seleccionado</a:t>
            </a:r>
          </a:p>
        </rich>
      </tx>
    </title>
    <plotArea>
      <scatterChart>
        <ser>
          <idx val="0"/>
          <order val="0"/>
          <tx>
            <v>Ajuste: tramo seleccionado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'800 rpm'!$F$9:$F$308</f>
            </numRef>
          </xVal>
          <yVal>
            <numRef>
              <f>'800 rpm'!$E$9:$E$308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Residuos</a:t>
            </a:r>
          </a:p>
        </rich>
      </tx>
    </title>
    <plotArea>
      <scatterChart>
        <ser>
          <idx val="0"/>
          <order val="0"/>
          <tx>
            <v>Residuos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'800 rpm'!$F$9:$F$308</f>
            </numRef>
          </xVal>
          <yVal>
            <numRef>
              <f>'800 rpm'!$G$9:$G$308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Residuo 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Reoxigenación</a:t>
            </a:r>
          </a:p>
        </rich>
      </tx>
    </title>
    <plotArea>
      <scatterChart>
        <ser>
          <idx val="0"/>
          <order val="0"/>
          <tx>
            <v>Reoxigenación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'1000 rpm'!$A$9:$A$308</f>
            </numRef>
          </xVal>
          <yVal>
            <numRef>
              <f>'1000 rpm'!$B$9:$B$308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Oxígeno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Ajuste: tramo seleccionado</a:t>
            </a:r>
          </a:p>
        </rich>
      </tx>
    </title>
    <plotArea>
      <scatterChart>
        <ser>
          <idx val="0"/>
          <order val="0"/>
          <tx>
            <v>Ajuste: tramo seleccionado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'1000 rpm'!$F$9:$F$308</f>
            </numRef>
          </xVal>
          <yVal>
            <numRef>
              <f>'1000 rpm'!$E$9:$E$308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Residuos</a:t>
            </a:r>
          </a:p>
        </rich>
      </tx>
    </title>
    <plotArea>
      <scatterChart>
        <ser>
          <idx val="0"/>
          <order val="0"/>
          <tx>
            <v>Residuos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'1000 rpm'!$F$9:$F$308</f>
            </numRef>
          </xVal>
          <yVal>
            <numRef>
              <f>'1000 rpm'!$G$9:$G$308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Residuo 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2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26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42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26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42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26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42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10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26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42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10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26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42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45" customWidth="1" min="6" max="6"/>
  </cols>
  <sheetData>
    <row r="1">
      <c r="A1" s="1" t="inlineStr">
        <is>
          <t>RPM</t>
        </is>
      </c>
      <c r="B1" s="1" t="inlineStr">
        <is>
          <t>kLa [h⁻¹]</t>
        </is>
      </c>
      <c r="C1" s="1" t="inlineStr">
        <is>
          <t>R²</t>
        </is>
      </c>
      <c r="D1" s="1" t="inlineStr">
        <is>
          <t>Puntos</t>
        </is>
      </c>
      <c r="E1" s="1" t="inlineStr">
        <is>
          <t>Temperatura [°C]</t>
        </is>
      </c>
      <c r="F1" s="1" t="inlineStr">
        <is>
          <t>Observaciones</t>
        </is>
      </c>
    </row>
    <row r="2">
      <c r="A2" t="n">
        <v>200</v>
      </c>
      <c r="B2">
        <f>IF(ISNUMBER('200 rpm'!K5),'200 rpm'!K5,"")</f>
        <v/>
      </c>
      <c r="C2">
        <f>IF(ISNUMBER('200 rpm'!K6),'200 rpm'!K6,"")</f>
        <v/>
      </c>
      <c r="D2">
        <f>'200 rpm'!K8</f>
        <v/>
      </c>
    </row>
    <row r="3">
      <c r="A3" t="n">
        <v>400</v>
      </c>
      <c r="B3">
        <f>IF(ISNUMBER('400 rpm'!K5),'400 rpm'!K5,"")</f>
        <v/>
      </c>
      <c r="C3">
        <f>IF(ISNUMBER('400 rpm'!K6),'400 rpm'!K6,"")</f>
        <v/>
      </c>
      <c r="D3">
        <f>'400 rpm'!K8</f>
        <v/>
      </c>
    </row>
    <row r="4">
      <c r="A4" t="n">
        <v>600</v>
      </c>
      <c r="B4">
        <f>IF(ISNUMBER('600 rpm'!K5),'600 rpm'!K5,"")</f>
        <v/>
      </c>
      <c r="C4">
        <f>IF(ISNUMBER('600 rpm'!K6),'600 rpm'!K6,"")</f>
        <v/>
      </c>
      <c r="D4">
        <f>'600 rpm'!K8</f>
        <v/>
      </c>
    </row>
    <row r="5">
      <c r="A5" t="n">
        <v>800</v>
      </c>
      <c r="B5">
        <f>IF(ISNUMBER('800 rpm'!K5),'800 rpm'!K5,"")</f>
        <v/>
      </c>
      <c r="C5">
        <f>IF(ISNUMBER('800 rpm'!K6),'800 rpm'!K6,"")</f>
        <v/>
      </c>
      <c r="D5">
        <f>'800 rpm'!K8</f>
        <v/>
      </c>
    </row>
    <row r="6">
      <c r="A6" t="n">
        <v>1000</v>
      </c>
      <c r="B6">
        <f>IF(ISNUMBER('1000 rpm'!K5),'1000 rpm'!K5,"")</f>
        <v/>
      </c>
      <c r="C6">
        <f>IF(ISNUMBER('1000 rpm'!K6),'1000 rpm'!K6,"")</f>
        <v/>
      </c>
      <c r="D6">
        <f>'1000 rpm'!K8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2" customHeight="1">
      <c r="A1" s="2" t="inlineStr">
        <is>
          <t>Plantilla de cálculo de kLa: reactor Sartorius 50 L, 30 L de agua, aire 15 L/min.</t>
        </is>
      </c>
    </row>
    <row r="2" ht="32" customHeight="1">
      <c r="A2" s="3" t="inlineStr">
        <is>
          <t>Una hoja por velocidad. No hay datos experimentales precargados.</t>
        </is>
      </c>
    </row>
    <row r="3" ht="32" customHeight="1">
      <c r="A3" s="3" t="inlineStr">
        <is>
          <t>Introducir tiempo en segundos desde el cambio de gas en A y oxígeno en B (filas 9 a 308).</t>
        </is>
      </c>
    </row>
    <row r="4" ht="32" customHeight="1">
      <c r="A4" s="3" t="inlineStr">
        <is>
          <t>Introducir meseta inicial en K2 y meseta final en K3, tras revisar el registro completo.</t>
        </is>
      </c>
    </row>
    <row r="5" ht="32" customHeight="1">
      <c r="A5" s="3" t="inlineStr">
        <is>
          <t>No sustituir automáticamente la meseta final por 100 %. La escala debe ser la misma.</t>
        </is>
      </c>
    </row>
    <row r="6" ht="32" customHeight="1">
      <c r="A6" s="3" t="inlineStr">
        <is>
          <t>Las columnas C y D calculan el recorrido y la transformación logarítmica.</t>
        </is>
      </c>
    </row>
    <row r="7" ht="32" customHeight="1">
      <c r="A7" s="3" t="inlineStr">
        <is>
          <t>E y F seleccionan Y y tiempo solo para un recorrido entre 0.20 y 0.80.</t>
        </is>
      </c>
    </row>
    <row r="8" ht="32" customHeight="1">
      <c r="A8" s="3" t="inlineStr">
        <is>
          <t>El ajuste tiene ordenada libre. Se muestran resultados a partir de tres puntos válidos.</t>
        </is>
      </c>
    </row>
    <row r="9" ht="32" customHeight="1">
      <c r="A9" s="3" t="inlineStr">
        <is>
          <t>Tres puntos son un mínimo de cálculo, no un criterio suficiente de calidad.</t>
        </is>
      </c>
    </row>
    <row r="10" ht="32" customHeight="1">
      <c r="A10" s="3" t="inlineStr">
        <is>
          <t>K5 expresa kLa en h⁻¹. Revisar pendiente positiva, linealidad, residuos y condiciones.</t>
        </is>
      </c>
    </row>
    <row r="11" ht="32" customHeight="1">
      <c r="A11" s="3" t="inlineStr">
        <is>
          <t>G muestra los residuos Y − (intercepto + pendiente × tiempo) de los puntos seleccionados.</t>
        </is>
      </c>
    </row>
    <row r="12" ht="32" customHeight="1">
      <c r="A12" s="3" t="inlineStr">
        <is>
          <t>Las gráficas de Y y residuos representan el tramo seleccionado; la curva de oxígeno usa todo el registro.</t>
        </is>
      </c>
    </row>
    <row r="13" ht="32" customHeight="1">
      <c r="A13" s="3" t="inlineStr">
        <is>
          <t>Campos azules: entrada. Conservar una copia por equipo y los registros originales.</t>
        </is>
      </c>
    </row>
    <row r="14" ht="32" customHeight="1">
      <c r="A14" s="3" t="inlineStr">
        <is>
          <t>Las fórmulas se calculan al abrir en Excel o LibreOffice. Las celdas vacías no representan kLa = 0.</t>
        </is>
      </c>
    </row>
    <row r="15" ht="32" customHeight="1">
      <c r="A15" s="3" t="inlineStr">
        <is>
          <t>La plantilla admite 300 muestras por curva. Si el registro es mayor, ampliar fórmulas, rangos y gráficas.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4" customWidth="1" min="10" max="10"/>
    <col width="18" customWidth="1" min="11" max="11"/>
  </cols>
  <sheetData>
    <row r="1">
      <c r="A1" t="inlineStr">
        <is>
          <t>Reoxigenación a 200 rpm</t>
        </is>
      </c>
      <c r="J1" t="inlineStr">
        <is>
          <t>RPM</t>
        </is>
      </c>
      <c r="K1" t="n">
        <v>200</v>
      </c>
    </row>
    <row r="2">
      <c r="A2" t="inlineStr">
        <is>
          <t>Volumen: 30 L de agua</t>
        </is>
      </c>
      <c r="J2" t="inlineStr">
        <is>
          <t>y₀ (entrada)</t>
        </is>
      </c>
      <c r="K2" s="4" t="n"/>
    </row>
    <row r="3">
      <c r="A3" t="inlineStr">
        <is>
          <t>Aire: 15 L/min = 0.5 vvm</t>
        </is>
      </c>
      <c r="J3" t="inlineStr">
        <is>
          <t>y∞ (entrada)</t>
        </is>
      </c>
      <c r="K3" s="4" t="n"/>
    </row>
    <row r="4">
      <c r="A4" t="inlineStr">
        <is>
          <t>Archivo / equipo:</t>
        </is>
      </c>
      <c r="B4" s="4" t="n"/>
      <c r="J4" t="inlineStr">
        <is>
          <t>Pendiente [s⁻¹]</t>
        </is>
      </c>
      <c r="K4">
        <f>IF(AND(K8&gt;=3,ISNUMBER(K2),ISNUMBER(K3),K3&gt;K2),IFERROR(SLOPE(E9:E308,F9:F308),""),"")</f>
        <v/>
      </c>
    </row>
    <row r="5">
      <c r="A5" t="inlineStr">
        <is>
          <t>Temperatura [°C]:</t>
        </is>
      </c>
      <c r="B5" s="4" t="n"/>
      <c r="J5" t="inlineStr">
        <is>
          <t>kLa [h⁻¹]</t>
        </is>
      </c>
      <c r="K5">
        <f>IF(ISNUMBER(K4),K4*3600,"")</f>
        <v/>
      </c>
    </row>
    <row r="6">
      <c r="A6" t="inlineStr">
        <is>
          <t>Intervalos de mesetas:</t>
        </is>
      </c>
      <c r="B6" s="4" t="n"/>
      <c r="J6" t="inlineStr">
        <is>
          <t>R²</t>
        </is>
      </c>
      <c r="K6">
        <f>IF(ISNUMBER(K4),IFERROR(RSQ(E9:E308,F9:F308),""),"")</f>
        <v/>
      </c>
    </row>
    <row r="7">
      <c r="J7" t="inlineStr">
        <is>
          <t>Intercepto</t>
        </is>
      </c>
      <c r="K7">
        <f>IF(ISNUMBER(K4),IFERROR(INTERCEPT(E9:E308,F9:F308),""),"")</f>
        <v/>
      </c>
    </row>
    <row r="8">
      <c r="A8" s="1" t="inlineStr">
        <is>
          <t>Tiempo [s]</t>
        </is>
      </c>
      <c r="B8" s="1" t="inlineStr">
        <is>
          <t>Oxígeno [%]</t>
        </is>
      </c>
      <c r="C8" s="1" t="inlineStr">
        <is>
          <t>Recorrido r</t>
        </is>
      </c>
      <c r="D8" s="1" t="inlineStr">
        <is>
          <t>Y</t>
        </is>
      </c>
      <c r="E8" s="1" t="inlineStr">
        <is>
          <t>Y seleccionado</t>
        </is>
      </c>
      <c r="F8" s="1" t="inlineStr">
        <is>
          <t>t seleccionado</t>
        </is>
      </c>
      <c r="G8" s="1" t="inlineStr">
        <is>
          <t>Residuo</t>
        </is>
      </c>
      <c r="J8" s="1" t="inlineStr">
        <is>
          <t>Puntos de ajuste</t>
        </is>
      </c>
      <c r="K8" s="1">
        <f>COUNT(E9:E308)</f>
        <v/>
      </c>
    </row>
    <row r="9">
      <c r="A9" s="4" t="n"/>
      <c r="B9" s="4" t="n"/>
      <c r="C9" s="5">
        <f>IF(AND(ISNUMBER(A9),ISNUMBER(B9),ISNUMBER($K$2),ISNUMBER($K$3),$K$3&gt;$K$2),(B9-$K$2)/($K$3-$K$2),"")</f>
        <v/>
      </c>
      <c r="D9" s="5">
        <f>IF(ISNUMBER(C9),IF(B9&lt;$K$3,LN(($K$3-$K$2)/($K$3-B9)),""),"")</f>
        <v/>
      </c>
      <c r="E9" s="5">
        <f>IF(AND(ISNUMBER(C9),ISNUMBER(D9),C9&gt;=0.2,C9&lt;=0.8),D9,"")</f>
        <v/>
      </c>
      <c r="F9" s="5">
        <f>IF(ISNUMBER(E9),A9,"")</f>
        <v/>
      </c>
      <c r="G9" s="5">
        <f>IF(AND(ISNUMBER(E9),ISNUMBER($K$4)),E9-($K$7+$K$4*A9),"")</f>
        <v/>
      </c>
    </row>
    <row r="10">
      <c r="A10" s="4" t="n"/>
      <c r="B10" s="4" t="n"/>
      <c r="C10" s="5">
        <f>IF(AND(ISNUMBER(A10),ISNUMBER(B10),ISNUMBER($K$2),ISNUMBER($K$3),$K$3&gt;$K$2),(B10-$K$2)/($K$3-$K$2),"")</f>
        <v/>
      </c>
      <c r="D10" s="5">
        <f>IF(ISNUMBER(C10),IF(B10&lt;$K$3,LN(($K$3-$K$2)/($K$3-B10)),""),"")</f>
        <v/>
      </c>
      <c r="E10" s="5">
        <f>IF(AND(ISNUMBER(C10),ISNUMBER(D10),C10&gt;=0.2,C10&lt;=0.8),D10,"")</f>
        <v/>
      </c>
      <c r="F10" s="5">
        <f>IF(ISNUMBER(E10),A10,"")</f>
        <v/>
      </c>
      <c r="G10" s="5">
        <f>IF(AND(ISNUMBER(E10),ISNUMBER($K$4)),E10-($K$7+$K$4*A10),"")</f>
        <v/>
      </c>
    </row>
    <row r="11">
      <c r="A11" s="4" t="n"/>
      <c r="B11" s="4" t="n"/>
      <c r="C11" s="5">
        <f>IF(AND(ISNUMBER(A11),ISNUMBER(B11),ISNUMBER($K$2),ISNUMBER($K$3),$K$3&gt;$K$2),(B11-$K$2)/($K$3-$K$2),"")</f>
        <v/>
      </c>
      <c r="D11" s="5">
        <f>IF(ISNUMBER(C11),IF(B11&lt;$K$3,LN(($K$3-$K$2)/($K$3-B11)),""),"")</f>
        <v/>
      </c>
      <c r="E11" s="5">
        <f>IF(AND(ISNUMBER(C11),ISNUMBER(D11),C11&gt;=0.2,C11&lt;=0.8),D11,"")</f>
        <v/>
      </c>
      <c r="F11" s="5">
        <f>IF(ISNUMBER(E11),A11,"")</f>
        <v/>
      </c>
      <c r="G11" s="5">
        <f>IF(AND(ISNUMBER(E11),ISNUMBER($K$4)),E11-($K$7+$K$4*A11),"")</f>
        <v/>
      </c>
    </row>
    <row r="12">
      <c r="A12" s="4" t="n"/>
      <c r="B12" s="4" t="n"/>
      <c r="C12" s="5">
        <f>IF(AND(ISNUMBER(A12),ISNUMBER(B12),ISNUMBER($K$2),ISNUMBER($K$3),$K$3&gt;$K$2),(B12-$K$2)/($K$3-$K$2),"")</f>
        <v/>
      </c>
      <c r="D12" s="5">
        <f>IF(ISNUMBER(C12),IF(B12&lt;$K$3,LN(($K$3-$K$2)/($K$3-B12)),""),"")</f>
        <v/>
      </c>
      <c r="E12" s="5">
        <f>IF(AND(ISNUMBER(C12),ISNUMBER(D12),C12&gt;=0.2,C12&lt;=0.8),D12,"")</f>
        <v/>
      </c>
      <c r="F12" s="5">
        <f>IF(ISNUMBER(E12),A12,"")</f>
        <v/>
      </c>
      <c r="G12" s="5">
        <f>IF(AND(ISNUMBER(E12),ISNUMBER($K$4)),E12-($K$7+$K$4*A12),"")</f>
        <v/>
      </c>
    </row>
    <row r="13">
      <c r="A13" s="4" t="n"/>
      <c r="B13" s="4" t="n"/>
      <c r="C13" s="5">
        <f>IF(AND(ISNUMBER(A13),ISNUMBER(B13),ISNUMBER($K$2),ISNUMBER($K$3),$K$3&gt;$K$2),(B13-$K$2)/($K$3-$K$2),"")</f>
        <v/>
      </c>
      <c r="D13" s="5">
        <f>IF(ISNUMBER(C13),IF(B13&lt;$K$3,LN(($K$3-$K$2)/($K$3-B13)),""),"")</f>
        <v/>
      </c>
      <c r="E13" s="5">
        <f>IF(AND(ISNUMBER(C13),ISNUMBER(D13),C13&gt;=0.2,C13&lt;=0.8),D13,"")</f>
        <v/>
      </c>
      <c r="F13" s="5">
        <f>IF(ISNUMBER(E13),A13,"")</f>
        <v/>
      </c>
      <c r="G13" s="5">
        <f>IF(AND(ISNUMBER(E13),ISNUMBER($K$4)),E13-($K$7+$K$4*A13),"")</f>
        <v/>
      </c>
    </row>
    <row r="14">
      <c r="A14" s="4" t="n"/>
      <c r="B14" s="4" t="n"/>
      <c r="C14" s="5">
        <f>IF(AND(ISNUMBER(A14),ISNUMBER(B14),ISNUMBER($K$2),ISNUMBER($K$3),$K$3&gt;$K$2),(B14-$K$2)/($K$3-$K$2),"")</f>
        <v/>
      </c>
      <c r="D14" s="5">
        <f>IF(ISNUMBER(C14),IF(B14&lt;$K$3,LN(($K$3-$K$2)/($K$3-B14)),""),"")</f>
        <v/>
      </c>
      <c r="E14" s="5">
        <f>IF(AND(ISNUMBER(C14),ISNUMBER(D14),C14&gt;=0.2,C14&lt;=0.8),D14,"")</f>
        <v/>
      </c>
      <c r="F14" s="5">
        <f>IF(ISNUMBER(E14),A14,"")</f>
        <v/>
      </c>
      <c r="G14" s="5">
        <f>IF(AND(ISNUMBER(E14),ISNUMBER($K$4)),E14-($K$7+$K$4*A14),"")</f>
        <v/>
      </c>
    </row>
    <row r="15">
      <c r="A15" s="4" t="n"/>
      <c r="B15" s="4" t="n"/>
      <c r="C15" s="5">
        <f>IF(AND(ISNUMBER(A15),ISNUMBER(B15),ISNUMBER($K$2),ISNUMBER($K$3),$K$3&gt;$K$2),(B15-$K$2)/($K$3-$K$2),"")</f>
        <v/>
      </c>
      <c r="D15" s="5">
        <f>IF(ISNUMBER(C15),IF(B15&lt;$K$3,LN(($K$3-$K$2)/($K$3-B15)),""),"")</f>
        <v/>
      </c>
      <c r="E15" s="5">
        <f>IF(AND(ISNUMBER(C15),ISNUMBER(D15),C15&gt;=0.2,C15&lt;=0.8),D15,"")</f>
        <v/>
      </c>
      <c r="F15" s="5">
        <f>IF(ISNUMBER(E15),A15,"")</f>
        <v/>
      </c>
      <c r="G15" s="5">
        <f>IF(AND(ISNUMBER(E15),ISNUMBER($K$4)),E15-($K$7+$K$4*A15),"")</f>
        <v/>
      </c>
    </row>
    <row r="16">
      <c r="A16" s="4" t="n"/>
      <c r="B16" s="4" t="n"/>
      <c r="C16" s="5">
        <f>IF(AND(ISNUMBER(A16),ISNUMBER(B16),ISNUMBER($K$2),ISNUMBER($K$3),$K$3&gt;$K$2),(B16-$K$2)/($K$3-$K$2),"")</f>
        <v/>
      </c>
      <c r="D16" s="5">
        <f>IF(ISNUMBER(C16),IF(B16&lt;$K$3,LN(($K$3-$K$2)/($K$3-B16)),""),"")</f>
        <v/>
      </c>
      <c r="E16" s="5">
        <f>IF(AND(ISNUMBER(C16),ISNUMBER(D16),C16&gt;=0.2,C16&lt;=0.8),D16,"")</f>
        <v/>
      </c>
      <c r="F16" s="5">
        <f>IF(ISNUMBER(E16),A16,"")</f>
        <v/>
      </c>
      <c r="G16" s="5">
        <f>IF(AND(ISNUMBER(E16),ISNUMBER($K$4)),E16-($K$7+$K$4*A16),"")</f>
        <v/>
      </c>
    </row>
    <row r="17">
      <c r="A17" s="4" t="n"/>
      <c r="B17" s="4" t="n"/>
      <c r="C17" s="5">
        <f>IF(AND(ISNUMBER(A17),ISNUMBER(B17),ISNUMBER($K$2),ISNUMBER($K$3),$K$3&gt;$K$2),(B17-$K$2)/($K$3-$K$2),"")</f>
        <v/>
      </c>
      <c r="D17" s="5">
        <f>IF(ISNUMBER(C17),IF(B17&lt;$K$3,LN(($K$3-$K$2)/($K$3-B17)),""),"")</f>
        <v/>
      </c>
      <c r="E17" s="5">
        <f>IF(AND(ISNUMBER(C17),ISNUMBER(D17),C17&gt;=0.2,C17&lt;=0.8),D17,"")</f>
        <v/>
      </c>
      <c r="F17" s="5">
        <f>IF(ISNUMBER(E17),A17,"")</f>
        <v/>
      </c>
      <c r="G17" s="5">
        <f>IF(AND(ISNUMBER(E17),ISNUMBER($K$4)),E17-($K$7+$K$4*A17),"")</f>
        <v/>
      </c>
    </row>
    <row r="18">
      <c r="A18" s="4" t="n"/>
      <c r="B18" s="4" t="n"/>
      <c r="C18" s="5">
        <f>IF(AND(ISNUMBER(A18),ISNUMBER(B18),ISNUMBER($K$2),ISNUMBER($K$3),$K$3&gt;$K$2),(B18-$K$2)/($K$3-$K$2),"")</f>
        <v/>
      </c>
      <c r="D18" s="5">
        <f>IF(ISNUMBER(C18),IF(B18&lt;$K$3,LN(($K$3-$K$2)/($K$3-B18)),""),"")</f>
        <v/>
      </c>
      <c r="E18" s="5">
        <f>IF(AND(ISNUMBER(C18),ISNUMBER(D18),C18&gt;=0.2,C18&lt;=0.8),D18,"")</f>
        <v/>
      </c>
      <c r="F18" s="5">
        <f>IF(ISNUMBER(E18),A18,"")</f>
        <v/>
      </c>
      <c r="G18" s="5">
        <f>IF(AND(ISNUMBER(E18),ISNUMBER($K$4)),E18-($K$7+$K$4*A18),"")</f>
        <v/>
      </c>
    </row>
    <row r="19">
      <c r="A19" s="4" t="n"/>
      <c r="B19" s="4" t="n"/>
      <c r="C19" s="5">
        <f>IF(AND(ISNUMBER(A19),ISNUMBER(B19),ISNUMBER($K$2),ISNUMBER($K$3),$K$3&gt;$K$2),(B19-$K$2)/($K$3-$K$2),"")</f>
        <v/>
      </c>
      <c r="D19" s="5">
        <f>IF(ISNUMBER(C19),IF(B19&lt;$K$3,LN(($K$3-$K$2)/($K$3-B19)),""),"")</f>
        <v/>
      </c>
      <c r="E19" s="5">
        <f>IF(AND(ISNUMBER(C19),ISNUMBER(D19),C19&gt;=0.2,C19&lt;=0.8),D19,"")</f>
        <v/>
      </c>
      <c r="F19" s="5">
        <f>IF(ISNUMBER(E19),A19,"")</f>
        <v/>
      </c>
      <c r="G19" s="5">
        <f>IF(AND(ISNUMBER(E19),ISNUMBER($K$4)),E19-($K$7+$K$4*A19),"")</f>
        <v/>
      </c>
    </row>
    <row r="20">
      <c r="A20" s="4" t="n"/>
      <c r="B20" s="4" t="n"/>
      <c r="C20" s="5">
        <f>IF(AND(ISNUMBER(A20),ISNUMBER(B20),ISNUMBER($K$2),ISNUMBER($K$3),$K$3&gt;$K$2),(B20-$K$2)/($K$3-$K$2),"")</f>
        <v/>
      </c>
      <c r="D20" s="5">
        <f>IF(ISNUMBER(C20),IF(B20&lt;$K$3,LN(($K$3-$K$2)/($K$3-B20)),""),"")</f>
        <v/>
      </c>
      <c r="E20" s="5">
        <f>IF(AND(ISNUMBER(C20),ISNUMBER(D20),C20&gt;=0.2,C20&lt;=0.8),D20,"")</f>
        <v/>
      </c>
      <c r="F20" s="5">
        <f>IF(ISNUMBER(E20),A20,"")</f>
        <v/>
      </c>
      <c r="G20" s="5">
        <f>IF(AND(ISNUMBER(E20),ISNUMBER($K$4)),E20-($K$7+$K$4*A20),"")</f>
        <v/>
      </c>
    </row>
    <row r="21">
      <c r="A21" s="4" t="n"/>
      <c r="B21" s="4" t="n"/>
      <c r="C21" s="5">
        <f>IF(AND(ISNUMBER(A21),ISNUMBER(B21),ISNUMBER($K$2),ISNUMBER($K$3),$K$3&gt;$K$2),(B21-$K$2)/($K$3-$K$2),"")</f>
        <v/>
      </c>
      <c r="D21" s="5">
        <f>IF(ISNUMBER(C21),IF(B21&lt;$K$3,LN(($K$3-$K$2)/($K$3-B21)),""),"")</f>
        <v/>
      </c>
      <c r="E21" s="5">
        <f>IF(AND(ISNUMBER(C21),ISNUMBER(D21),C21&gt;=0.2,C21&lt;=0.8),D21,"")</f>
        <v/>
      </c>
      <c r="F21" s="5">
        <f>IF(ISNUMBER(E21),A21,"")</f>
        <v/>
      </c>
      <c r="G21" s="5">
        <f>IF(AND(ISNUMBER(E21),ISNUMBER($K$4)),E21-($K$7+$K$4*A21),"")</f>
        <v/>
      </c>
    </row>
    <row r="22">
      <c r="A22" s="4" t="n"/>
      <c r="B22" s="4" t="n"/>
      <c r="C22" s="5">
        <f>IF(AND(ISNUMBER(A22),ISNUMBER(B22),ISNUMBER($K$2),ISNUMBER($K$3),$K$3&gt;$K$2),(B22-$K$2)/($K$3-$K$2),"")</f>
        <v/>
      </c>
      <c r="D22" s="5">
        <f>IF(ISNUMBER(C22),IF(B22&lt;$K$3,LN(($K$3-$K$2)/($K$3-B22)),""),"")</f>
        <v/>
      </c>
      <c r="E22" s="5">
        <f>IF(AND(ISNUMBER(C22),ISNUMBER(D22),C22&gt;=0.2,C22&lt;=0.8),D22,"")</f>
        <v/>
      </c>
      <c r="F22" s="5">
        <f>IF(ISNUMBER(E22),A22,"")</f>
        <v/>
      </c>
      <c r="G22" s="5">
        <f>IF(AND(ISNUMBER(E22),ISNUMBER($K$4)),E22-($K$7+$K$4*A22),"")</f>
        <v/>
      </c>
    </row>
    <row r="23">
      <c r="A23" s="4" t="n"/>
      <c r="B23" s="4" t="n"/>
      <c r="C23" s="5">
        <f>IF(AND(ISNUMBER(A23),ISNUMBER(B23),ISNUMBER($K$2),ISNUMBER($K$3),$K$3&gt;$K$2),(B23-$K$2)/($K$3-$K$2),"")</f>
        <v/>
      </c>
      <c r="D23" s="5">
        <f>IF(ISNUMBER(C23),IF(B23&lt;$K$3,LN(($K$3-$K$2)/($K$3-B23)),""),"")</f>
        <v/>
      </c>
      <c r="E23" s="5">
        <f>IF(AND(ISNUMBER(C23),ISNUMBER(D23),C23&gt;=0.2,C23&lt;=0.8),D23,"")</f>
        <v/>
      </c>
      <c r="F23" s="5">
        <f>IF(ISNUMBER(E23),A23,"")</f>
        <v/>
      </c>
      <c r="G23" s="5">
        <f>IF(AND(ISNUMBER(E23),ISNUMBER($K$4)),E23-($K$7+$K$4*A23),"")</f>
        <v/>
      </c>
    </row>
    <row r="24">
      <c r="A24" s="4" t="n"/>
      <c r="B24" s="4" t="n"/>
      <c r="C24" s="5">
        <f>IF(AND(ISNUMBER(A24),ISNUMBER(B24),ISNUMBER($K$2),ISNUMBER($K$3),$K$3&gt;$K$2),(B24-$K$2)/($K$3-$K$2),"")</f>
        <v/>
      </c>
      <c r="D24" s="5">
        <f>IF(ISNUMBER(C24),IF(B24&lt;$K$3,LN(($K$3-$K$2)/($K$3-B24)),""),"")</f>
        <v/>
      </c>
      <c r="E24" s="5">
        <f>IF(AND(ISNUMBER(C24),ISNUMBER(D24),C24&gt;=0.2,C24&lt;=0.8),D24,"")</f>
        <v/>
      </c>
      <c r="F24" s="5">
        <f>IF(ISNUMBER(E24),A24,"")</f>
        <v/>
      </c>
      <c r="G24" s="5">
        <f>IF(AND(ISNUMBER(E24),ISNUMBER($K$4)),E24-($K$7+$K$4*A24),"")</f>
        <v/>
      </c>
    </row>
    <row r="25">
      <c r="A25" s="4" t="n"/>
      <c r="B25" s="4" t="n"/>
      <c r="C25" s="5">
        <f>IF(AND(ISNUMBER(A25),ISNUMBER(B25),ISNUMBER($K$2),ISNUMBER($K$3),$K$3&gt;$K$2),(B25-$K$2)/($K$3-$K$2),"")</f>
        <v/>
      </c>
      <c r="D25" s="5">
        <f>IF(ISNUMBER(C25),IF(B25&lt;$K$3,LN(($K$3-$K$2)/($K$3-B25)),""),"")</f>
        <v/>
      </c>
      <c r="E25" s="5">
        <f>IF(AND(ISNUMBER(C25),ISNUMBER(D25),C25&gt;=0.2,C25&lt;=0.8),D25,"")</f>
        <v/>
      </c>
      <c r="F25" s="5">
        <f>IF(ISNUMBER(E25),A25,"")</f>
        <v/>
      </c>
      <c r="G25" s="5">
        <f>IF(AND(ISNUMBER(E25),ISNUMBER($K$4)),E25-($K$7+$K$4*A25),"")</f>
        <v/>
      </c>
    </row>
    <row r="26">
      <c r="A26" s="4" t="n"/>
      <c r="B26" s="4" t="n"/>
      <c r="C26" s="5">
        <f>IF(AND(ISNUMBER(A26),ISNUMBER(B26),ISNUMBER($K$2),ISNUMBER($K$3),$K$3&gt;$K$2),(B26-$K$2)/($K$3-$K$2),"")</f>
        <v/>
      </c>
      <c r="D26" s="5">
        <f>IF(ISNUMBER(C26),IF(B26&lt;$K$3,LN(($K$3-$K$2)/($K$3-B26)),""),"")</f>
        <v/>
      </c>
      <c r="E26" s="5">
        <f>IF(AND(ISNUMBER(C26),ISNUMBER(D26),C26&gt;=0.2,C26&lt;=0.8),D26,"")</f>
        <v/>
      </c>
      <c r="F26" s="5">
        <f>IF(ISNUMBER(E26),A26,"")</f>
        <v/>
      </c>
      <c r="G26" s="5">
        <f>IF(AND(ISNUMBER(E26),ISNUMBER($K$4)),E26-($K$7+$K$4*A26),"")</f>
        <v/>
      </c>
    </row>
    <row r="27">
      <c r="A27" s="4" t="n"/>
      <c r="B27" s="4" t="n"/>
      <c r="C27" s="5">
        <f>IF(AND(ISNUMBER(A27),ISNUMBER(B27),ISNUMBER($K$2),ISNUMBER($K$3),$K$3&gt;$K$2),(B27-$K$2)/($K$3-$K$2),"")</f>
        <v/>
      </c>
      <c r="D27" s="5">
        <f>IF(ISNUMBER(C27),IF(B27&lt;$K$3,LN(($K$3-$K$2)/($K$3-B27)),""),"")</f>
        <v/>
      </c>
      <c r="E27" s="5">
        <f>IF(AND(ISNUMBER(C27),ISNUMBER(D27),C27&gt;=0.2,C27&lt;=0.8),D27,"")</f>
        <v/>
      </c>
      <c r="F27" s="5">
        <f>IF(ISNUMBER(E27),A27,"")</f>
        <v/>
      </c>
      <c r="G27" s="5">
        <f>IF(AND(ISNUMBER(E27),ISNUMBER($K$4)),E27-($K$7+$K$4*A27),"")</f>
        <v/>
      </c>
    </row>
    <row r="28">
      <c r="A28" s="4" t="n"/>
      <c r="B28" s="4" t="n"/>
      <c r="C28" s="5">
        <f>IF(AND(ISNUMBER(A28),ISNUMBER(B28),ISNUMBER($K$2),ISNUMBER($K$3),$K$3&gt;$K$2),(B28-$K$2)/($K$3-$K$2),"")</f>
        <v/>
      </c>
      <c r="D28" s="5">
        <f>IF(ISNUMBER(C28),IF(B28&lt;$K$3,LN(($K$3-$K$2)/($K$3-B28)),""),"")</f>
        <v/>
      </c>
      <c r="E28" s="5">
        <f>IF(AND(ISNUMBER(C28),ISNUMBER(D28),C28&gt;=0.2,C28&lt;=0.8),D28,"")</f>
        <v/>
      </c>
      <c r="F28" s="5">
        <f>IF(ISNUMBER(E28),A28,"")</f>
        <v/>
      </c>
      <c r="G28" s="5">
        <f>IF(AND(ISNUMBER(E28),ISNUMBER($K$4)),E28-($K$7+$K$4*A28),"")</f>
        <v/>
      </c>
    </row>
    <row r="29">
      <c r="A29" s="4" t="n"/>
      <c r="B29" s="4" t="n"/>
      <c r="C29" s="5">
        <f>IF(AND(ISNUMBER(A29),ISNUMBER(B29),ISNUMBER($K$2),ISNUMBER($K$3),$K$3&gt;$K$2),(B29-$K$2)/($K$3-$K$2),"")</f>
        <v/>
      </c>
      <c r="D29" s="5">
        <f>IF(ISNUMBER(C29),IF(B29&lt;$K$3,LN(($K$3-$K$2)/($K$3-B29)),""),"")</f>
        <v/>
      </c>
      <c r="E29" s="5">
        <f>IF(AND(ISNUMBER(C29),ISNUMBER(D29),C29&gt;=0.2,C29&lt;=0.8),D29,"")</f>
        <v/>
      </c>
      <c r="F29" s="5">
        <f>IF(ISNUMBER(E29),A29,"")</f>
        <v/>
      </c>
      <c r="G29" s="5">
        <f>IF(AND(ISNUMBER(E29),ISNUMBER($K$4)),E29-($K$7+$K$4*A29),"")</f>
        <v/>
      </c>
    </row>
    <row r="30">
      <c r="A30" s="4" t="n"/>
      <c r="B30" s="4" t="n"/>
      <c r="C30" s="5">
        <f>IF(AND(ISNUMBER(A30),ISNUMBER(B30),ISNUMBER($K$2),ISNUMBER($K$3),$K$3&gt;$K$2),(B30-$K$2)/($K$3-$K$2),"")</f>
        <v/>
      </c>
      <c r="D30" s="5">
        <f>IF(ISNUMBER(C30),IF(B30&lt;$K$3,LN(($K$3-$K$2)/($K$3-B30)),""),"")</f>
        <v/>
      </c>
      <c r="E30" s="5">
        <f>IF(AND(ISNUMBER(C30),ISNUMBER(D30),C30&gt;=0.2,C30&lt;=0.8),D30,"")</f>
        <v/>
      </c>
      <c r="F30" s="5">
        <f>IF(ISNUMBER(E30),A30,"")</f>
        <v/>
      </c>
      <c r="G30" s="5">
        <f>IF(AND(ISNUMBER(E30),ISNUMBER($K$4)),E30-($K$7+$K$4*A30),"")</f>
        <v/>
      </c>
    </row>
    <row r="31">
      <c r="A31" s="4" t="n"/>
      <c r="B31" s="4" t="n"/>
      <c r="C31" s="5">
        <f>IF(AND(ISNUMBER(A31),ISNUMBER(B31),ISNUMBER($K$2),ISNUMBER($K$3),$K$3&gt;$K$2),(B31-$K$2)/($K$3-$K$2),"")</f>
        <v/>
      </c>
      <c r="D31" s="5">
        <f>IF(ISNUMBER(C31),IF(B31&lt;$K$3,LN(($K$3-$K$2)/($K$3-B31)),""),"")</f>
        <v/>
      </c>
      <c r="E31" s="5">
        <f>IF(AND(ISNUMBER(C31),ISNUMBER(D31),C31&gt;=0.2,C31&lt;=0.8),D31,"")</f>
        <v/>
      </c>
      <c r="F31" s="5">
        <f>IF(ISNUMBER(E31),A31,"")</f>
        <v/>
      </c>
      <c r="G31" s="5">
        <f>IF(AND(ISNUMBER(E31),ISNUMBER($K$4)),E31-($K$7+$K$4*A31),"")</f>
        <v/>
      </c>
    </row>
    <row r="32">
      <c r="A32" s="4" t="n"/>
      <c r="B32" s="4" t="n"/>
      <c r="C32" s="5">
        <f>IF(AND(ISNUMBER(A32),ISNUMBER(B32),ISNUMBER($K$2),ISNUMBER($K$3),$K$3&gt;$K$2),(B32-$K$2)/($K$3-$K$2),"")</f>
        <v/>
      </c>
      <c r="D32" s="5">
        <f>IF(ISNUMBER(C32),IF(B32&lt;$K$3,LN(($K$3-$K$2)/($K$3-B32)),""),"")</f>
        <v/>
      </c>
      <c r="E32" s="5">
        <f>IF(AND(ISNUMBER(C32),ISNUMBER(D32),C32&gt;=0.2,C32&lt;=0.8),D32,"")</f>
        <v/>
      </c>
      <c r="F32" s="5">
        <f>IF(ISNUMBER(E32),A32,"")</f>
        <v/>
      </c>
      <c r="G32" s="5">
        <f>IF(AND(ISNUMBER(E32),ISNUMBER($K$4)),E32-($K$7+$K$4*A32),"")</f>
        <v/>
      </c>
    </row>
    <row r="33">
      <c r="A33" s="4" t="n"/>
      <c r="B33" s="4" t="n"/>
      <c r="C33" s="5">
        <f>IF(AND(ISNUMBER(A33),ISNUMBER(B33),ISNUMBER($K$2),ISNUMBER($K$3),$K$3&gt;$K$2),(B33-$K$2)/($K$3-$K$2),"")</f>
        <v/>
      </c>
      <c r="D33" s="5">
        <f>IF(ISNUMBER(C33),IF(B33&lt;$K$3,LN(($K$3-$K$2)/($K$3-B33)),""),"")</f>
        <v/>
      </c>
      <c r="E33" s="5">
        <f>IF(AND(ISNUMBER(C33),ISNUMBER(D33),C33&gt;=0.2,C33&lt;=0.8),D33,"")</f>
        <v/>
      </c>
      <c r="F33" s="5">
        <f>IF(ISNUMBER(E33),A33,"")</f>
        <v/>
      </c>
      <c r="G33" s="5">
        <f>IF(AND(ISNUMBER(E33),ISNUMBER($K$4)),E33-($K$7+$K$4*A33),"")</f>
        <v/>
      </c>
    </row>
    <row r="34">
      <c r="A34" s="4" t="n"/>
      <c r="B34" s="4" t="n"/>
      <c r="C34" s="5">
        <f>IF(AND(ISNUMBER(A34),ISNUMBER(B34),ISNUMBER($K$2),ISNUMBER($K$3),$K$3&gt;$K$2),(B34-$K$2)/($K$3-$K$2),"")</f>
        <v/>
      </c>
      <c r="D34" s="5">
        <f>IF(ISNUMBER(C34),IF(B34&lt;$K$3,LN(($K$3-$K$2)/($K$3-B34)),""),"")</f>
        <v/>
      </c>
      <c r="E34" s="5">
        <f>IF(AND(ISNUMBER(C34),ISNUMBER(D34),C34&gt;=0.2,C34&lt;=0.8),D34,"")</f>
        <v/>
      </c>
      <c r="F34" s="5">
        <f>IF(ISNUMBER(E34),A34,"")</f>
        <v/>
      </c>
      <c r="G34" s="5">
        <f>IF(AND(ISNUMBER(E34),ISNUMBER($K$4)),E34-($K$7+$K$4*A34),"")</f>
        <v/>
      </c>
    </row>
    <row r="35">
      <c r="A35" s="4" t="n"/>
      <c r="B35" s="4" t="n"/>
      <c r="C35" s="5">
        <f>IF(AND(ISNUMBER(A35),ISNUMBER(B35),ISNUMBER($K$2),ISNUMBER($K$3),$K$3&gt;$K$2),(B35-$K$2)/($K$3-$K$2),"")</f>
        <v/>
      </c>
      <c r="D35" s="5">
        <f>IF(ISNUMBER(C35),IF(B35&lt;$K$3,LN(($K$3-$K$2)/($K$3-B35)),""),"")</f>
        <v/>
      </c>
      <c r="E35" s="5">
        <f>IF(AND(ISNUMBER(C35),ISNUMBER(D35),C35&gt;=0.2,C35&lt;=0.8),D35,"")</f>
        <v/>
      </c>
      <c r="F35" s="5">
        <f>IF(ISNUMBER(E35),A35,"")</f>
        <v/>
      </c>
      <c r="G35" s="5">
        <f>IF(AND(ISNUMBER(E35),ISNUMBER($K$4)),E35-($K$7+$K$4*A35),"")</f>
        <v/>
      </c>
    </row>
    <row r="36">
      <c r="A36" s="4" t="n"/>
      <c r="B36" s="4" t="n"/>
      <c r="C36" s="5">
        <f>IF(AND(ISNUMBER(A36),ISNUMBER(B36),ISNUMBER($K$2),ISNUMBER($K$3),$K$3&gt;$K$2),(B36-$K$2)/($K$3-$K$2),"")</f>
        <v/>
      </c>
      <c r="D36" s="5">
        <f>IF(ISNUMBER(C36),IF(B36&lt;$K$3,LN(($K$3-$K$2)/($K$3-B36)),""),"")</f>
        <v/>
      </c>
      <c r="E36" s="5">
        <f>IF(AND(ISNUMBER(C36),ISNUMBER(D36),C36&gt;=0.2,C36&lt;=0.8),D36,"")</f>
        <v/>
      </c>
      <c r="F36" s="5">
        <f>IF(ISNUMBER(E36),A36,"")</f>
        <v/>
      </c>
      <c r="G36" s="5">
        <f>IF(AND(ISNUMBER(E36),ISNUMBER($K$4)),E36-($K$7+$K$4*A36),"")</f>
        <v/>
      </c>
    </row>
    <row r="37">
      <c r="A37" s="4" t="n"/>
      <c r="B37" s="4" t="n"/>
      <c r="C37" s="5">
        <f>IF(AND(ISNUMBER(A37),ISNUMBER(B37),ISNUMBER($K$2),ISNUMBER($K$3),$K$3&gt;$K$2),(B37-$K$2)/($K$3-$K$2),"")</f>
        <v/>
      </c>
      <c r="D37" s="5">
        <f>IF(ISNUMBER(C37),IF(B37&lt;$K$3,LN(($K$3-$K$2)/($K$3-B37)),""),"")</f>
        <v/>
      </c>
      <c r="E37" s="5">
        <f>IF(AND(ISNUMBER(C37),ISNUMBER(D37),C37&gt;=0.2,C37&lt;=0.8),D37,"")</f>
        <v/>
      </c>
      <c r="F37" s="5">
        <f>IF(ISNUMBER(E37),A37,"")</f>
        <v/>
      </c>
      <c r="G37" s="5">
        <f>IF(AND(ISNUMBER(E37),ISNUMBER($K$4)),E37-($K$7+$K$4*A37),"")</f>
        <v/>
      </c>
    </row>
    <row r="38">
      <c r="A38" s="4" t="n"/>
      <c r="B38" s="4" t="n"/>
      <c r="C38" s="5">
        <f>IF(AND(ISNUMBER(A38),ISNUMBER(B38),ISNUMBER($K$2),ISNUMBER($K$3),$K$3&gt;$K$2),(B38-$K$2)/($K$3-$K$2),"")</f>
        <v/>
      </c>
      <c r="D38" s="5">
        <f>IF(ISNUMBER(C38),IF(B38&lt;$K$3,LN(($K$3-$K$2)/($K$3-B38)),""),"")</f>
        <v/>
      </c>
      <c r="E38" s="5">
        <f>IF(AND(ISNUMBER(C38),ISNUMBER(D38),C38&gt;=0.2,C38&lt;=0.8),D38,"")</f>
        <v/>
      </c>
      <c r="F38" s="5">
        <f>IF(ISNUMBER(E38),A38,"")</f>
        <v/>
      </c>
      <c r="G38" s="5">
        <f>IF(AND(ISNUMBER(E38),ISNUMBER($K$4)),E38-($K$7+$K$4*A38),"")</f>
        <v/>
      </c>
    </row>
    <row r="39">
      <c r="A39" s="4" t="n"/>
      <c r="B39" s="4" t="n"/>
      <c r="C39" s="5">
        <f>IF(AND(ISNUMBER(A39),ISNUMBER(B39),ISNUMBER($K$2),ISNUMBER($K$3),$K$3&gt;$K$2),(B39-$K$2)/($K$3-$K$2),"")</f>
        <v/>
      </c>
      <c r="D39" s="5">
        <f>IF(ISNUMBER(C39),IF(B39&lt;$K$3,LN(($K$3-$K$2)/($K$3-B39)),""),"")</f>
        <v/>
      </c>
      <c r="E39" s="5">
        <f>IF(AND(ISNUMBER(C39),ISNUMBER(D39),C39&gt;=0.2,C39&lt;=0.8),D39,"")</f>
        <v/>
      </c>
      <c r="F39" s="5">
        <f>IF(ISNUMBER(E39),A39,"")</f>
        <v/>
      </c>
      <c r="G39" s="5">
        <f>IF(AND(ISNUMBER(E39),ISNUMBER($K$4)),E39-($K$7+$K$4*A39),"")</f>
        <v/>
      </c>
    </row>
    <row r="40">
      <c r="A40" s="4" t="n"/>
      <c r="B40" s="4" t="n"/>
      <c r="C40" s="5">
        <f>IF(AND(ISNUMBER(A40),ISNUMBER(B40),ISNUMBER($K$2),ISNUMBER($K$3),$K$3&gt;$K$2),(B40-$K$2)/($K$3-$K$2),"")</f>
        <v/>
      </c>
      <c r="D40" s="5">
        <f>IF(ISNUMBER(C40),IF(B40&lt;$K$3,LN(($K$3-$K$2)/($K$3-B40)),""),"")</f>
        <v/>
      </c>
      <c r="E40" s="5">
        <f>IF(AND(ISNUMBER(C40),ISNUMBER(D40),C40&gt;=0.2,C40&lt;=0.8),D40,"")</f>
        <v/>
      </c>
      <c r="F40" s="5">
        <f>IF(ISNUMBER(E40),A40,"")</f>
        <v/>
      </c>
      <c r="G40" s="5">
        <f>IF(AND(ISNUMBER(E40),ISNUMBER($K$4)),E40-($K$7+$K$4*A40),"")</f>
        <v/>
      </c>
    </row>
    <row r="41">
      <c r="A41" s="4" t="n"/>
      <c r="B41" s="4" t="n"/>
      <c r="C41" s="5">
        <f>IF(AND(ISNUMBER(A41),ISNUMBER(B41),ISNUMBER($K$2),ISNUMBER($K$3),$K$3&gt;$K$2),(B41-$K$2)/($K$3-$K$2),"")</f>
        <v/>
      </c>
      <c r="D41" s="5">
        <f>IF(ISNUMBER(C41),IF(B41&lt;$K$3,LN(($K$3-$K$2)/($K$3-B41)),""),"")</f>
        <v/>
      </c>
      <c r="E41" s="5">
        <f>IF(AND(ISNUMBER(C41),ISNUMBER(D41),C41&gt;=0.2,C41&lt;=0.8),D41,"")</f>
        <v/>
      </c>
      <c r="F41" s="5">
        <f>IF(ISNUMBER(E41),A41,"")</f>
        <v/>
      </c>
      <c r="G41" s="5">
        <f>IF(AND(ISNUMBER(E41),ISNUMBER($K$4)),E41-($K$7+$K$4*A41),"")</f>
        <v/>
      </c>
    </row>
    <row r="42">
      <c r="A42" s="4" t="n"/>
      <c r="B42" s="4" t="n"/>
      <c r="C42" s="5">
        <f>IF(AND(ISNUMBER(A42),ISNUMBER(B42),ISNUMBER($K$2),ISNUMBER($K$3),$K$3&gt;$K$2),(B42-$K$2)/($K$3-$K$2),"")</f>
        <v/>
      </c>
      <c r="D42" s="5">
        <f>IF(ISNUMBER(C42),IF(B42&lt;$K$3,LN(($K$3-$K$2)/($K$3-B42)),""),"")</f>
        <v/>
      </c>
      <c r="E42" s="5">
        <f>IF(AND(ISNUMBER(C42),ISNUMBER(D42),C42&gt;=0.2,C42&lt;=0.8),D42,"")</f>
        <v/>
      </c>
      <c r="F42" s="5">
        <f>IF(ISNUMBER(E42),A42,"")</f>
        <v/>
      </c>
      <c r="G42" s="5">
        <f>IF(AND(ISNUMBER(E42),ISNUMBER($K$4)),E42-($K$7+$K$4*A42),"")</f>
        <v/>
      </c>
    </row>
    <row r="43">
      <c r="A43" s="4" t="n"/>
      <c r="B43" s="4" t="n"/>
      <c r="C43" s="5">
        <f>IF(AND(ISNUMBER(A43),ISNUMBER(B43),ISNUMBER($K$2),ISNUMBER($K$3),$K$3&gt;$K$2),(B43-$K$2)/($K$3-$K$2),"")</f>
        <v/>
      </c>
      <c r="D43" s="5">
        <f>IF(ISNUMBER(C43),IF(B43&lt;$K$3,LN(($K$3-$K$2)/($K$3-B43)),""),"")</f>
        <v/>
      </c>
      <c r="E43" s="5">
        <f>IF(AND(ISNUMBER(C43),ISNUMBER(D43),C43&gt;=0.2,C43&lt;=0.8),D43,"")</f>
        <v/>
      </c>
      <c r="F43" s="5">
        <f>IF(ISNUMBER(E43),A43,"")</f>
        <v/>
      </c>
      <c r="G43" s="5">
        <f>IF(AND(ISNUMBER(E43),ISNUMBER($K$4)),E43-($K$7+$K$4*A43),"")</f>
        <v/>
      </c>
    </row>
    <row r="44">
      <c r="A44" s="4" t="n"/>
      <c r="B44" s="4" t="n"/>
      <c r="C44" s="5">
        <f>IF(AND(ISNUMBER(A44),ISNUMBER(B44),ISNUMBER($K$2),ISNUMBER($K$3),$K$3&gt;$K$2),(B44-$K$2)/($K$3-$K$2),"")</f>
        <v/>
      </c>
      <c r="D44" s="5">
        <f>IF(ISNUMBER(C44),IF(B44&lt;$K$3,LN(($K$3-$K$2)/($K$3-B44)),""),"")</f>
        <v/>
      </c>
      <c r="E44" s="5">
        <f>IF(AND(ISNUMBER(C44),ISNUMBER(D44),C44&gt;=0.2,C44&lt;=0.8),D44,"")</f>
        <v/>
      </c>
      <c r="F44" s="5">
        <f>IF(ISNUMBER(E44),A44,"")</f>
        <v/>
      </c>
      <c r="G44" s="5">
        <f>IF(AND(ISNUMBER(E44),ISNUMBER($K$4)),E44-($K$7+$K$4*A44),"")</f>
        <v/>
      </c>
    </row>
    <row r="45">
      <c r="A45" s="4" t="n"/>
      <c r="B45" s="4" t="n"/>
      <c r="C45" s="5">
        <f>IF(AND(ISNUMBER(A45),ISNUMBER(B45),ISNUMBER($K$2),ISNUMBER($K$3),$K$3&gt;$K$2),(B45-$K$2)/($K$3-$K$2),"")</f>
        <v/>
      </c>
      <c r="D45" s="5">
        <f>IF(ISNUMBER(C45),IF(B45&lt;$K$3,LN(($K$3-$K$2)/($K$3-B45)),""),"")</f>
        <v/>
      </c>
      <c r="E45" s="5">
        <f>IF(AND(ISNUMBER(C45),ISNUMBER(D45),C45&gt;=0.2,C45&lt;=0.8),D45,"")</f>
        <v/>
      </c>
      <c r="F45" s="5">
        <f>IF(ISNUMBER(E45),A45,"")</f>
        <v/>
      </c>
      <c r="G45" s="5">
        <f>IF(AND(ISNUMBER(E45),ISNUMBER($K$4)),E45-($K$7+$K$4*A45),"")</f>
        <v/>
      </c>
    </row>
    <row r="46">
      <c r="A46" s="4" t="n"/>
      <c r="B46" s="4" t="n"/>
      <c r="C46" s="5">
        <f>IF(AND(ISNUMBER(A46),ISNUMBER(B46),ISNUMBER($K$2),ISNUMBER($K$3),$K$3&gt;$K$2),(B46-$K$2)/($K$3-$K$2),"")</f>
        <v/>
      </c>
      <c r="D46" s="5">
        <f>IF(ISNUMBER(C46),IF(B46&lt;$K$3,LN(($K$3-$K$2)/($K$3-B46)),""),"")</f>
        <v/>
      </c>
      <c r="E46" s="5">
        <f>IF(AND(ISNUMBER(C46),ISNUMBER(D46),C46&gt;=0.2,C46&lt;=0.8),D46,"")</f>
        <v/>
      </c>
      <c r="F46" s="5">
        <f>IF(ISNUMBER(E46),A46,"")</f>
        <v/>
      </c>
      <c r="G46" s="5">
        <f>IF(AND(ISNUMBER(E46),ISNUMBER($K$4)),E46-($K$7+$K$4*A46),"")</f>
        <v/>
      </c>
    </row>
    <row r="47">
      <c r="A47" s="4" t="n"/>
      <c r="B47" s="4" t="n"/>
      <c r="C47" s="5">
        <f>IF(AND(ISNUMBER(A47),ISNUMBER(B47),ISNUMBER($K$2),ISNUMBER($K$3),$K$3&gt;$K$2),(B47-$K$2)/($K$3-$K$2),"")</f>
        <v/>
      </c>
      <c r="D47" s="5">
        <f>IF(ISNUMBER(C47),IF(B47&lt;$K$3,LN(($K$3-$K$2)/($K$3-B47)),""),"")</f>
        <v/>
      </c>
      <c r="E47" s="5">
        <f>IF(AND(ISNUMBER(C47),ISNUMBER(D47),C47&gt;=0.2,C47&lt;=0.8),D47,"")</f>
        <v/>
      </c>
      <c r="F47" s="5">
        <f>IF(ISNUMBER(E47),A47,"")</f>
        <v/>
      </c>
      <c r="G47" s="5">
        <f>IF(AND(ISNUMBER(E47),ISNUMBER($K$4)),E47-($K$7+$K$4*A47),"")</f>
        <v/>
      </c>
    </row>
    <row r="48">
      <c r="A48" s="4" t="n"/>
      <c r="B48" s="4" t="n"/>
      <c r="C48" s="5">
        <f>IF(AND(ISNUMBER(A48),ISNUMBER(B48),ISNUMBER($K$2),ISNUMBER($K$3),$K$3&gt;$K$2),(B48-$K$2)/($K$3-$K$2),"")</f>
        <v/>
      </c>
      <c r="D48" s="5">
        <f>IF(ISNUMBER(C48),IF(B48&lt;$K$3,LN(($K$3-$K$2)/($K$3-B48)),""),"")</f>
        <v/>
      </c>
      <c r="E48" s="5">
        <f>IF(AND(ISNUMBER(C48),ISNUMBER(D48),C48&gt;=0.2,C48&lt;=0.8),D48,"")</f>
        <v/>
      </c>
      <c r="F48" s="5">
        <f>IF(ISNUMBER(E48),A48,"")</f>
        <v/>
      </c>
      <c r="G48" s="5">
        <f>IF(AND(ISNUMBER(E48),ISNUMBER($K$4)),E48-($K$7+$K$4*A48),"")</f>
        <v/>
      </c>
    </row>
    <row r="49">
      <c r="A49" s="4" t="n"/>
      <c r="B49" s="4" t="n"/>
      <c r="C49" s="5">
        <f>IF(AND(ISNUMBER(A49),ISNUMBER(B49),ISNUMBER($K$2),ISNUMBER($K$3),$K$3&gt;$K$2),(B49-$K$2)/($K$3-$K$2),"")</f>
        <v/>
      </c>
      <c r="D49" s="5">
        <f>IF(ISNUMBER(C49),IF(B49&lt;$K$3,LN(($K$3-$K$2)/($K$3-B49)),""),"")</f>
        <v/>
      </c>
      <c r="E49" s="5">
        <f>IF(AND(ISNUMBER(C49),ISNUMBER(D49),C49&gt;=0.2,C49&lt;=0.8),D49,"")</f>
        <v/>
      </c>
      <c r="F49" s="5">
        <f>IF(ISNUMBER(E49),A49,"")</f>
        <v/>
      </c>
      <c r="G49" s="5">
        <f>IF(AND(ISNUMBER(E49),ISNUMBER($K$4)),E49-($K$7+$K$4*A49),"")</f>
        <v/>
      </c>
    </row>
    <row r="50">
      <c r="A50" s="4" t="n"/>
      <c r="B50" s="4" t="n"/>
      <c r="C50" s="5">
        <f>IF(AND(ISNUMBER(A50),ISNUMBER(B50),ISNUMBER($K$2),ISNUMBER($K$3),$K$3&gt;$K$2),(B50-$K$2)/($K$3-$K$2),"")</f>
        <v/>
      </c>
      <c r="D50" s="5">
        <f>IF(ISNUMBER(C50),IF(B50&lt;$K$3,LN(($K$3-$K$2)/($K$3-B50)),""),"")</f>
        <v/>
      </c>
      <c r="E50" s="5">
        <f>IF(AND(ISNUMBER(C50),ISNUMBER(D50),C50&gt;=0.2,C50&lt;=0.8),D50,"")</f>
        <v/>
      </c>
      <c r="F50" s="5">
        <f>IF(ISNUMBER(E50),A50,"")</f>
        <v/>
      </c>
      <c r="G50" s="5">
        <f>IF(AND(ISNUMBER(E50),ISNUMBER($K$4)),E50-($K$7+$K$4*A50),"")</f>
        <v/>
      </c>
    </row>
    <row r="51">
      <c r="A51" s="4" t="n"/>
      <c r="B51" s="4" t="n"/>
      <c r="C51" s="5">
        <f>IF(AND(ISNUMBER(A51),ISNUMBER(B51),ISNUMBER($K$2),ISNUMBER($K$3),$K$3&gt;$K$2),(B51-$K$2)/($K$3-$K$2),"")</f>
        <v/>
      </c>
      <c r="D51" s="5">
        <f>IF(ISNUMBER(C51),IF(B51&lt;$K$3,LN(($K$3-$K$2)/($K$3-B51)),""),"")</f>
        <v/>
      </c>
      <c r="E51" s="5">
        <f>IF(AND(ISNUMBER(C51),ISNUMBER(D51),C51&gt;=0.2,C51&lt;=0.8),D51,"")</f>
        <v/>
      </c>
      <c r="F51" s="5">
        <f>IF(ISNUMBER(E51),A51,"")</f>
        <v/>
      </c>
      <c r="G51" s="5">
        <f>IF(AND(ISNUMBER(E51),ISNUMBER($K$4)),E51-($K$7+$K$4*A51),"")</f>
        <v/>
      </c>
    </row>
    <row r="52">
      <c r="A52" s="4" t="n"/>
      <c r="B52" s="4" t="n"/>
      <c r="C52" s="5">
        <f>IF(AND(ISNUMBER(A52),ISNUMBER(B52),ISNUMBER($K$2),ISNUMBER($K$3),$K$3&gt;$K$2),(B52-$K$2)/($K$3-$K$2),"")</f>
        <v/>
      </c>
      <c r="D52" s="5">
        <f>IF(ISNUMBER(C52),IF(B52&lt;$K$3,LN(($K$3-$K$2)/($K$3-B52)),""),"")</f>
        <v/>
      </c>
      <c r="E52" s="5">
        <f>IF(AND(ISNUMBER(C52),ISNUMBER(D52),C52&gt;=0.2,C52&lt;=0.8),D52,"")</f>
        <v/>
      </c>
      <c r="F52" s="5">
        <f>IF(ISNUMBER(E52),A52,"")</f>
        <v/>
      </c>
      <c r="G52" s="5">
        <f>IF(AND(ISNUMBER(E52),ISNUMBER($K$4)),E52-($K$7+$K$4*A52),"")</f>
        <v/>
      </c>
    </row>
    <row r="53">
      <c r="A53" s="4" t="n"/>
      <c r="B53" s="4" t="n"/>
      <c r="C53" s="5">
        <f>IF(AND(ISNUMBER(A53),ISNUMBER(B53),ISNUMBER($K$2),ISNUMBER($K$3),$K$3&gt;$K$2),(B53-$K$2)/($K$3-$K$2),"")</f>
        <v/>
      </c>
      <c r="D53" s="5">
        <f>IF(ISNUMBER(C53),IF(B53&lt;$K$3,LN(($K$3-$K$2)/($K$3-B53)),""),"")</f>
        <v/>
      </c>
      <c r="E53" s="5">
        <f>IF(AND(ISNUMBER(C53),ISNUMBER(D53),C53&gt;=0.2,C53&lt;=0.8),D53,"")</f>
        <v/>
      </c>
      <c r="F53" s="5">
        <f>IF(ISNUMBER(E53),A53,"")</f>
        <v/>
      </c>
      <c r="G53" s="5">
        <f>IF(AND(ISNUMBER(E53),ISNUMBER($K$4)),E53-($K$7+$K$4*A53),"")</f>
        <v/>
      </c>
    </row>
    <row r="54">
      <c r="A54" s="4" t="n"/>
      <c r="B54" s="4" t="n"/>
      <c r="C54" s="5">
        <f>IF(AND(ISNUMBER(A54),ISNUMBER(B54),ISNUMBER($K$2),ISNUMBER($K$3),$K$3&gt;$K$2),(B54-$K$2)/($K$3-$K$2),"")</f>
        <v/>
      </c>
      <c r="D54" s="5">
        <f>IF(ISNUMBER(C54),IF(B54&lt;$K$3,LN(($K$3-$K$2)/($K$3-B54)),""),"")</f>
        <v/>
      </c>
      <c r="E54" s="5">
        <f>IF(AND(ISNUMBER(C54),ISNUMBER(D54),C54&gt;=0.2,C54&lt;=0.8),D54,"")</f>
        <v/>
      </c>
      <c r="F54" s="5">
        <f>IF(ISNUMBER(E54),A54,"")</f>
        <v/>
      </c>
      <c r="G54" s="5">
        <f>IF(AND(ISNUMBER(E54),ISNUMBER($K$4)),E54-($K$7+$K$4*A54),"")</f>
        <v/>
      </c>
    </row>
    <row r="55">
      <c r="A55" s="4" t="n"/>
      <c r="B55" s="4" t="n"/>
      <c r="C55" s="5">
        <f>IF(AND(ISNUMBER(A55),ISNUMBER(B55),ISNUMBER($K$2),ISNUMBER($K$3),$K$3&gt;$K$2),(B55-$K$2)/($K$3-$K$2),"")</f>
        <v/>
      </c>
      <c r="D55" s="5">
        <f>IF(ISNUMBER(C55),IF(B55&lt;$K$3,LN(($K$3-$K$2)/($K$3-B55)),""),"")</f>
        <v/>
      </c>
      <c r="E55" s="5">
        <f>IF(AND(ISNUMBER(C55),ISNUMBER(D55),C55&gt;=0.2,C55&lt;=0.8),D55,"")</f>
        <v/>
      </c>
      <c r="F55" s="5">
        <f>IF(ISNUMBER(E55),A55,"")</f>
        <v/>
      </c>
      <c r="G55" s="5">
        <f>IF(AND(ISNUMBER(E55),ISNUMBER($K$4)),E55-($K$7+$K$4*A55),"")</f>
        <v/>
      </c>
    </row>
    <row r="56">
      <c r="A56" s="4" t="n"/>
      <c r="B56" s="4" t="n"/>
      <c r="C56" s="5">
        <f>IF(AND(ISNUMBER(A56),ISNUMBER(B56),ISNUMBER($K$2),ISNUMBER($K$3),$K$3&gt;$K$2),(B56-$K$2)/($K$3-$K$2),"")</f>
        <v/>
      </c>
      <c r="D56" s="5">
        <f>IF(ISNUMBER(C56),IF(B56&lt;$K$3,LN(($K$3-$K$2)/($K$3-B56)),""),"")</f>
        <v/>
      </c>
      <c r="E56" s="5">
        <f>IF(AND(ISNUMBER(C56),ISNUMBER(D56),C56&gt;=0.2,C56&lt;=0.8),D56,"")</f>
        <v/>
      </c>
      <c r="F56" s="5">
        <f>IF(ISNUMBER(E56),A56,"")</f>
        <v/>
      </c>
      <c r="G56" s="5">
        <f>IF(AND(ISNUMBER(E56),ISNUMBER($K$4)),E56-($K$7+$K$4*A56),"")</f>
        <v/>
      </c>
    </row>
    <row r="57">
      <c r="A57" s="4" t="n"/>
      <c r="B57" s="4" t="n"/>
      <c r="C57" s="5">
        <f>IF(AND(ISNUMBER(A57),ISNUMBER(B57),ISNUMBER($K$2),ISNUMBER($K$3),$K$3&gt;$K$2),(B57-$K$2)/($K$3-$K$2),"")</f>
        <v/>
      </c>
      <c r="D57" s="5">
        <f>IF(ISNUMBER(C57),IF(B57&lt;$K$3,LN(($K$3-$K$2)/($K$3-B57)),""),"")</f>
        <v/>
      </c>
      <c r="E57" s="5">
        <f>IF(AND(ISNUMBER(C57),ISNUMBER(D57),C57&gt;=0.2,C57&lt;=0.8),D57,"")</f>
        <v/>
      </c>
      <c r="F57" s="5">
        <f>IF(ISNUMBER(E57),A57,"")</f>
        <v/>
      </c>
      <c r="G57" s="5">
        <f>IF(AND(ISNUMBER(E57),ISNUMBER($K$4)),E57-($K$7+$K$4*A57),"")</f>
        <v/>
      </c>
    </row>
    <row r="58">
      <c r="A58" s="4" t="n"/>
      <c r="B58" s="4" t="n"/>
      <c r="C58" s="5">
        <f>IF(AND(ISNUMBER(A58),ISNUMBER(B58),ISNUMBER($K$2),ISNUMBER($K$3),$K$3&gt;$K$2),(B58-$K$2)/($K$3-$K$2),"")</f>
        <v/>
      </c>
      <c r="D58" s="5">
        <f>IF(ISNUMBER(C58),IF(B58&lt;$K$3,LN(($K$3-$K$2)/($K$3-B58)),""),"")</f>
        <v/>
      </c>
      <c r="E58" s="5">
        <f>IF(AND(ISNUMBER(C58),ISNUMBER(D58),C58&gt;=0.2,C58&lt;=0.8),D58,"")</f>
        <v/>
      </c>
      <c r="F58" s="5">
        <f>IF(ISNUMBER(E58),A58,"")</f>
        <v/>
      </c>
      <c r="G58" s="5">
        <f>IF(AND(ISNUMBER(E58),ISNUMBER($K$4)),E58-($K$7+$K$4*A58),"")</f>
        <v/>
      </c>
    </row>
    <row r="59">
      <c r="A59" s="4" t="n"/>
      <c r="B59" s="4" t="n"/>
      <c r="C59" s="5">
        <f>IF(AND(ISNUMBER(A59),ISNUMBER(B59),ISNUMBER($K$2),ISNUMBER($K$3),$K$3&gt;$K$2),(B59-$K$2)/($K$3-$K$2),"")</f>
        <v/>
      </c>
      <c r="D59" s="5">
        <f>IF(ISNUMBER(C59),IF(B59&lt;$K$3,LN(($K$3-$K$2)/($K$3-B59)),""),"")</f>
        <v/>
      </c>
      <c r="E59" s="5">
        <f>IF(AND(ISNUMBER(C59),ISNUMBER(D59),C59&gt;=0.2,C59&lt;=0.8),D59,"")</f>
        <v/>
      </c>
      <c r="F59" s="5">
        <f>IF(ISNUMBER(E59),A59,"")</f>
        <v/>
      </c>
      <c r="G59" s="5">
        <f>IF(AND(ISNUMBER(E59),ISNUMBER($K$4)),E59-($K$7+$K$4*A59),"")</f>
        <v/>
      </c>
    </row>
    <row r="60">
      <c r="A60" s="4" t="n"/>
      <c r="B60" s="4" t="n"/>
      <c r="C60" s="5">
        <f>IF(AND(ISNUMBER(A60),ISNUMBER(B60),ISNUMBER($K$2),ISNUMBER($K$3),$K$3&gt;$K$2),(B60-$K$2)/($K$3-$K$2),"")</f>
        <v/>
      </c>
      <c r="D60" s="5">
        <f>IF(ISNUMBER(C60),IF(B60&lt;$K$3,LN(($K$3-$K$2)/($K$3-B60)),""),"")</f>
        <v/>
      </c>
      <c r="E60" s="5">
        <f>IF(AND(ISNUMBER(C60),ISNUMBER(D60),C60&gt;=0.2,C60&lt;=0.8),D60,"")</f>
        <v/>
      </c>
      <c r="F60" s="5">
        <f>IF(ISNUMBER(E60),A60,"")</f>
        <v/>
      </c>
      <c r="G60" s="5">
        <f>IF(AND(ISNUMBER(E60),ISNUMBER($K$4)),E60-($K$7+$K$4*A60),"")</f>
        <v/>
      </c>
    </row>
    <row r="61">
      <c r="A61" s="4" t="n"/>
      <c r="B61" s="4" t="n"/>
      <c r="C61" s="5">
        <f>IF(AND(ISNUMBER(A61),ISNUMBER(B61),ISNUMBER($K$2),ISNUMBER($K$3),$K$3&gt;$K$2),(B61-$K$2)/($K$3-$K$2),"")</f>
        <v/>
      </c>
      <c r="D61" s="5">
        <f>IF(ISNUMBER(C61),IF(B61&lt;$K$3,LN(($K$3-$K$2)/($K$3-B61)),""),"")</f>
        <v/>
      </c>
      <c r="E61" s="5">
        <f>IF(AND(ISNUMBER(C61),ISNUMBER(D61),C61&gt;=0.2,C61&lt;=0.8),D61,"")</f>
        <v/>
      </c>
      <c r="F61" s="5">
        <f>IF(ISNUMBER(E61),A61,"")</f>
        <v/>
      </c>
      <c r="G61" s="5">
        <f>IF(AND(ISNUMBER(E61),ISNUMBER($K$4)),E61-($K$7+$K$4*A61),"")</f>
        <v/>
      </c>
    </row>
    <row r="62">
      <c r="A62" s="4" t="n"/>
      <c r="B62" s="4" t="n"/>
      <c r="C62" s="5">
        <f>IF(AND(ISNUMBER(A62),ISNUMBER(B62),ISNUMBER($K$2),ISNUMBER($K$3),$K$3&gt;$K$2),(B62-$K$2)/($K$3-$K$2),"")</f>
        <v/>
      </c>
      <c r="D62" s="5">
        <f>IF(ISNUMBER(C62),IF(B62&lt;$K$3,LN(($K$3-$K$2)/($K$3-B62)),""),"")</f>
        <v/>
      </c>
      <c r="E62" s="5">
        <f>IF(AND(ISNUMBER(C62),ISNUMBER(D62),C62&gt;=0.2,C62&lt;=0.8),D62,"")</f>
        <v/>
      </c>
      <c r="F62" s="5">
        <f>IF(ISNUMBER(E62),A62,"")</f>
        <v/>
      </c>
      <c r="G62" s="5">
        <f>IF(AND(ISNUMBER(E62),ISNUMBER($K$4)),E62-($K$7+$K$4*A62),"")</f>
        <v/>
      </c>
    </row>
    <row r="63">
      <c r="A63" s="4" t="n"/>
      <c r="B63" s="4" t="n"/>
      <c r="C63" s="5">
        <f>IF(AND(ISNUMBER(A63),ISNUMBER(B63),ISNUMBER($K$2),ISNUMBER($K$3),$K$3&gt;$K$2),(B63-$K$2)/($K$3-$K$2),"")</f>
        <v/>
      </c>
      <c r="D63" s="5">
        <f>IF(ISNUMBER(C63),IF(B63&lt;$K$3,LN(($K$3-$K$2)/($K$3-B63)),""),"")</f>
        <v/>
      </c>
      <c r="E63" s="5">
        <f>IF(AND(ISNUMBER(C63),ISNUMBER(D63),C63&gt;=0.2,C63&lt;=0.8),D63,"")</f>
        <v/>
      </c>
      <c r="F63" s="5">
        <f>IF(ISNUMBER(E63),A63,"")</f>
        <v/>
      </c>
      <c r="G63" s="5">
        <f>IF(AND(ISNUMBER(E63),ISNUMBER($K$4)),E63-($K$7+$K$4*A63),"")</f>
        <v/>
      </c>
    </row>
    <row r="64">
      <c r="A64" s="4" t="n"/>
      <c r="B64" s="4" t="n"/>
      <c r="C64" s="5">
        <f>IF(AND(ISNUMBER(A64),ISNUMBER(B64),ISNUMBER($K$2),ISNUMBER($K$3),$K$3&gt;$K$2),(B64-$K$2)/($K$3-$K$2),"")</f>
        <v/>
      </c>
      <c r="D64" s="5">
        <f>IF(ISNUMBER(C64),IF(B64&lt;$K$3,LN(($K$3-$K$2)/($K$3-B64)),""),"")</f>
        <v/>
      </c>
      <c r="E64" s="5">
        <f>IF(AND(ISNUMBER(C64),ISNUMBER(D64),C64&gt;=0.2,C64&lt;=0.8),D64,"")</f>
        <v/>
      </c>
      <c r="F64" s="5">
        <f>IF(ISNUMBER(E64),A64,"")</f>
        <v/>
      </c>
      <c r="G64" s="5">
        <f>IF(AND(ISNUMBER(E64),ISNUMBER($K$4)),E64-($K$7+$K$4*A64),"")</f>
        <v/>
      </c>
    </row>
    <row r="65">
      <c r="A65" s="4" t="n"/>
      <c r="B65" s="4" t="n"/>
      <c r="C65" s="5">
        <f>IF(AND(ISNUMBER(A65),ISNUMBER(B65),ISNUMBER($K$2),ISNUMBER($K$3),$K$3&gt;$K$2),(B65-$K$2)/($K$3-$K$2),"")</f>
        <v/>
      </c>
      <c r="D65" s="5">
        <f>IF(ISNUMBER(C65),IF(B65&lt;$K$3,LN(($K$3-$K$2)/($K$3-B65)),""),"")</f>
        <v/>
      </c>
      <c r="E65" s="5">
        <f>IF(AND(ISNUMBER(C65),ISNUMBER(D65),C65&gt;=0.2,C65&lt;=0.8),D65,"")</f>
        <v/>
      </c>
      <c r="F65" s="5">
        <f>IF(ISNUMBER(E65),A65,"")</f>
        <v/>
      </c>
      <c r="G65" s="5">
        <f>IF(AND(ISNUMBER(E65),ISNUMBER($K$4)),E65-($K$7+$K$4*A65),"")</f>
        <v/>
      </c>
    </row>
    <row r="66">
      <c r="A66" s="4" t="n"/>
      <c r="B66" s="4" t="n"/>
      <c r="C66" s="5">
        <f>IF(AND(ISNUMBER(A66),ISNUMBER(B66),ISNUMBER($K$2),ISNUMBER($K$3),$K$3&gt;$K$2),(B66-$K$2)/($K$3-$K$2),"")</f>
        <v/>
      </c>
      <c r="D66" s="5">
        <f>IF(ISNUMBER(C66),IF(B66&lt;$K$3,LN(($K$3-$K$2)/($K$3-B66)),""),"")</f>
        <v/>
      </c>
      <c r="E66" s="5">
        <f>IF(AND(ISNUMBER(C66),ISNUMBER(D66),C66&gt;=0.2,C66&lt;=0.8),D66,"")</f>
        <v/>
      </c>
      <c r="F66" s="5">
        <f>IF(ISNUMBER(E66),A66,"")</f>
        <v/>
      </c>
      <c r="G66" s="5">
        <f>IF(AND(ISNUMBER(E66),ISNUMBER($K$4)),E66-($K$7+$K$4*A66),"")</f>
        <v/>
      </c>
    </row>
    <row r="67">
      <c r="A67" s="4" t="n"/>
      <c r="B67" s="4" t="n"/>
      <c r="C67" s="5">
        <f>IF(AND(ISNUMBER(A67),ISNUMBER(B67),ISNUMBER($K$2),ISNUMBER($K$3),$K$3&gt;$K$2),(B67-$K$2)/($K$3-$K$2),"")</f>
        <v/>
      </c>
      <c r="D67" s="5">
        <f>IF(ISNUMBER(C67),IF(B67&lt;$K$3,LN(($K$3-$K$2)/($K$3-B67)),""),"")</f>
        <v/>
      </c>
      <c r="E67" s="5">
        <f>IF(AND(ISNUMBER(C67),ISNUMBER(D67),C67&gt;=0.2,C67&lt;=0.8),D67,"")</f>
        <v/>
      </c>
      <c r="F67" s="5">
        <f>IF(ISNUMBER(E67),A67,"")</f>
        <v/>
      </c>
      <c r="G67" s="5">
        <f>IF(AND(ISNUMBER(E67),ISNUMBER($K$4)),E67-($K$7+$K$4*A67),"")</f>
        <v/>
      </c>
    </row>
    <row r="68">
      <c r="A68" s="4" t="n"/>
      <c r="B68" s="4" t="n"/>
      <c r="C68" s="5">
        <f>IF(AND(ISNUMBER(A68),ISNUMBER(B68),ISNUMBER($K$2),ISNUMBER($K$3),$K$3&gt;$K$2),(B68-$K$2)/($K$3-$K$2),"")</f>
        <v/>
      </c>
      <c r="D68" s="5">
        <f>IF(ISNUMBER(C68),IF(B68&lt;$K$3,LN(($K$3-$K$2)/($K$3-B68)),""),"")</f>
        <v/>
      </c>
      <c r="E68" s="5">
        <f>IF(AND(ISNUMBER(C68),ISNUMBER(D68),C68&gt;=0.2,C68&lt;=0.8),D68,"")</f>
        <v/>
      </c>
      <c r="F68" s="5">
        <f>IF(ISNUMBER(E68),A68,"")</f>
        <v/>
      </c>
      <c r="G68" s="5">
        <f>IF(AND(ISNUMBER(E68),ISNUMBER($K$4)),E68-($K$7+$K$4*A68),"")</f>
        <v/>
      </c>
    </row>
    <row r="69">
      <c r="A69" s="4" t="n"/>
      <c r="B69" s="4" t="n"/>
      <c r="C69" s="5">
        <f>IF(AND(ISNUMBER(A69),ISNUMBER(B69),ISNUMBER($K$2),ISNUMBER($K$3),$K$3&gt;$K$2),(B69-$K$2)/($K$3-$K$2),"")</f>
        <v/>
      </c>
      <c r="D69" s="5">
        <f>IF(ISNUMBER(C69),IF(B69&lt;$K$3,LN(($K$3-$K$2)/($K$3-B69)),""),"")</f>
        <v/>
      </c>
      <c r="E69" s="5">
        <f>IF(AND(ISNUMBER(C69),ISNUMBER(D69),C69&gt;=0.2,C69&lt;=0.8),D69,"")</f>
        <v/>
      </c>
      <c r="F69" s="5">
        <f>IF(ISNUMBER(E69),A69,"")</f>
        <v/>
      </c>
      <c r="G69" s="5">
        <f>IF(AND(ISNUMBER(E69),ISNUMBER($K$4)),E69-($K$7+$K$4*A69),"")</f>
        <v/>
      </c>
    </row>
    <row r="70">
      <c r="A70" s="4" t="n"/>
      <c r="B70" s="4" t="n"/>
      <c r="C70" s="5">
        <f>IF(AND(ISNUMBER(A70),ISNUMBER(B70),ISNUMBER($K$2),ISNUMBER($K$3),$K$3&gt;$K$2),(B70-$K$2)/($K$3-$K$2),"")</f>
        <v/>
      </c>
      <c r="D70" s="5">
        <f>IF(ISNUMBER(C70),IF(B70&lt;$K$3,LN(($K$3-$K$2)/($K$3-B70)),""),"")</f>
        <v/>
      </c>
      <c r="E70" s="5">
        <f>IF(AND(ISNUMBER(C70),ISNUMBER(D70),C70&gt;=0.2,C70&lt;=0.8),D70,"")</f>
        <v/>
      </c>
      <c r="F70" s="5">
        <f>IF(ISNUMBER(E70),A70,"")</f>
        <v/>
      </c>
      <c r="G70" s="5">
        <f>IF(AND(ISNUMBER(E70),ISNUMBER($K$4)),E70-($K$7+$K$4*A70),"")</f>
        <v/>
      </c>
    </row>
    <row r="71">
      <c r="A71" s="4" t="n"/>
      <c r="B71" s="4" t="n"/>
      <c r="C71" s="5">
        <f>IF(AND(ISNUMBER(A71),ISNUMBER(B71),ISNUMBER($K$2),ISNUMBER($K$3),$K$3&gt;$K$2),(B71-$K$2)/($K$3-$K$2),"")</f>
        <v/>
      </c>
      <c r="D71" s="5">
        <f>IF(ISNUMBER(C71),IF(B71&lt;$K$3,LN(($K$3-$K$2)/($K$3-B71)),""),"")</f>
        <v/>
      </c>
      <c r="E71" s="5">
        <f>IF(AND(ISNUMBER(C71),ISNUMBER(D71),C71&gt;=0.2,C71&lt;=0.8),D71,"")</f>
        <v/>
      </c>
      <c r="F71" s="5">
        <f>IF(ISNUMBER(E71),A71,"")</f>
        <v/>
      </c>
      <c r="G71" s="5">
        <f>IF(AND(ISNUMBER(E71),ISNUMBER($K$4)),E71-($K$7+$K$4*A71),"")</f>
        <v/>
      </c>
    </row>
    <row r="72">
      <c r="A72" s="4" t="n"/>
      <c r="B72" s="4" t="n"/>
      <c r="C72" s="5">
        <f>IF(AND(ISNUMBER(A72),ISNUMBER(B72),ISNUMBER($K$2),ISNUMBER($K$3),$K$3&gt;$K$2),(B72-$K$2)/($K$3-$K$2),"")</f>
        <v/>
      </c>
      <c r="D72" s="5">
        <f>IF(ISNUMBER(C72),IF(B72&lt;$K$3,LN(($K$3-$K$2)/($K$3-B72)),""),"")</f>
        <v/>
      </c>
      <c r="E72" s="5">
        <f>IF(AND(ISNUMBER(C72),ISNUMBER(D72),C72&gt;=0.2,C72&lt;=0.8),D72,"")</f>
        <v/>
      </c>
      <c r="F72" s="5">
        <f>IF(ISNUMBER(E72),A72,"")</f>
        <v/>
      </c>
      <c r="G72" s="5">
        <f>IF(AND(ISNUMBER(E72),ISNUMBER($K$4)),E72-($K$7+$K$4*A72),"")</f>
        <v/>
      </c>
    </row>
    <row r="73">
      <c r="A73" s="4" t="n"/>
      <c r="B73" s="4" t="n"/>
      <c r="C73" s="5">
        <f>IF(AND(ISNUMBER(A73),ISNUMBER(B73),ISNUMBER($K$2),ISNUMBER($K$3),$K$3&gt;$K$2),(B73-$K$2)/($K$3-$K$2),"")</f>
        <v/>
      </c>
      <c r="D73" s="5">
        <f>IF(ISNUMBER(C73),IF(B73&lt;$K$3,LN(($K$3-$K$2)/($K$3-B73)),""),"")</f>
        <v/>
      </c>
      <c r="E73" s="5">
        <f>IF(AND(ISNUMBER(C73),ISNUMBER(D73),C73&gt;=0.2,C73&lt;=0.8),D73,"")</f>
        <v/>
      </c>
      <c r="F73" s="5">
        <f>IF(ISNUMBER(E73),A73,"")</f>
        <v/>
      </c>
      <c r="G73" s="5">
        <f>IF(AND(ISNUMBER(E73),ISNUMBER($K$4)),E73-($K$7+$K$4*A73),"")</f>
        <v/>
      </c>
    </row>
    <row r="74">
      <c r="A74" s="4" t="n"/>
      <c r="B74" s="4" t="n"/>
      <c r="C74" s="5">
        <f>IF(AND(ISNUMBER(A74),ISNUMBER(B74),ISNUMBER($K$2),ISNUMBER($K$3),$K$3&gt;$K$2),(B74-$K$2)/($K$3-$K$2),"")</f>
        <v/>
      </c>
      <c r="D74" s="5">
        <f>IF(ISNUMBER(C74),IF(B74&lt;$K$3,LN(($K$3-$K$2)/($K$3-B74)),""),"")</f>
        <v/>
      </c>
      <c r="E74" s="5">
        <f>IF(AND(ISNUMBER(C74),ISNUMBER(D74),C74&gt;=0.2,C74&lt;=0.8),D74,"")</f>
        <v/>
      </c>
      <c r="F74" s="5">
        <f>IF(ISNUMBER(E74),A74,"")</f>
        <v/>
      </c>
      <c r="G74" s="5">
        <f>IF(AND(ISNUMBER(E74),ISNUMBER($K$4)),E74-($K$7+$K$4*A74),"")</f>
        <v/>
      </c>
    </row>
    <row r="75">
      <c r="A75" s="4" t="n"/>
      <c r="B75" s="4" t="n"/>
      <c r="C75" s="5">
        <f>IF(AND(ISNUMBER(A75),ISNUMBER(B75),ISNUMBER($K$2),ISNUMBER($K$3),$K$3&gt;$K$2),(B75-$K$2)/($K$3-$K$2),"")</f>
        <v/>
      </c>
      <c r="D75" s="5">
        <f>IF(ISNUMBER(C75),IF(B75&lt;$K$3,LN(($K$3-$K$2)/($K$3-B75)),""),"")</f>
        <v/>
      </c>
      <c r="E75" s="5">
        <f>IF(AND(ISNUMBER(C75),ISNUMBER(D75),C75&gt;=0.2,C75&lt;=0.8),D75,"")</f>
        <v/>
      </c>
      <c r="F75" s="5">
        <f>IF(ISNUMBER(E75),A75,"")</f>
        <v/>
      </c>
      <c r="G75" s="5">
        <f>IF(AND(ISNUMBER(E75),ISNUMBER($K$4)),E75-($K$7+$K$4*A75),"")</f>
        <v/>
      </c>
    </row>
    <row r="76">
      <c r="A76" s="4" t="n"/>
      <c r="B76" s="4" t="n"/>
      <c r="C76" s="5">
        <f>IF(AND(ISNUMBER(A76),ISNUMBER(B76),ISNUMBER($K$2),ISNUMBER($K$3),$K$3&gt;$K$2),(B76-$K$2)/($K$3-$K$2),"")</f>
        <v/>
      </c>
      <c r="D76" s="5">
        <f>IF(ISNUMBER(C76),IF(B76&lt;$K$3,LN(($K$3-$K$2)/($K$3-B76)),""),"")</f>
        <v/>
      </c>
      <c r="E76" s="5">
        <f>IF(AND(ISNUMBER(C76),ISNUMBER(D76),C76&gt;=0.2,C76&lt;=0.8),D76,"")</f>
        <v/>
      </c>
      <c r="F76" s="5">
        <f>IF(ISNUMBER(E76),A76,"")</f>
        <v/>
      </c>
      <c r="G76" s="5">
        <f>IF(AND(ISNUMBER(E76),ISNUMBER($K$4)),E76-($K$7+$K$4*A76),"")</f>
        <v/>
      </c>
    </row>
    <row r="77">
      <c r="A77" s="4" t="n"/>
      <c r="B77" s="4" t="n"/>
      <c r="C77" s="5">
        <f>IF(AND(ISNUMBER(A77),ISNUMBER(B77),ISNUMBER($K$2),ISNUMBER($K$3),$K$3&gt;$K$2),(B77-$K$2)/($K$3-$K$2),"")</f>
        <v/>
      </c>
      <c r="D77" s="5">
        <f>IF(ISNUMBER(C77),IF(B77&lt;$K$3,LN(($K$3-$K$2)/($K$3-B77)),""),"")</f>
        <v/>
      </c>
      <c r="E77" s="5">
        <f>IF(AND(ISNUMBER(C77),ISNUMBER(D77),C77&gt;=0.2,C77&lt;=0.8),D77,"")</f>
        <v/>
      </c>
      <c r="F77" s="5">
        <f>IF(ISNUMBER(E77),A77,"")</f>
        <v/>
      </c>
      <c r="G77" s="5">
        <f>IF(AND(ISNUMBER(E77),ISNUMBER($K$4)),E77-($K$7+$K$4*A77),"")</f>
        <v/>
      </c>
    </row>
    <row r="78">
      <c r="A78" s="4" t="n"/>
      <c r="B78" s="4" t="n"/>
      <c r="C78" s="5">
        <f>IF(AND(ISNUMBER(A78),ISNUMBER(B78),ISNUMBER($K$2),ISNUMBER($K$3),$K$3&gt;$K$2),(B78-$K$2)/($K$3-$K$2),"")</f>
        <v/>
      </c>
      <c r="D78" s="5">
        <f>IF(ISNUMBER(C78),IF(B78&lt;$K$3,LN(($K$3-$K$2)/($K$3-B78)),""),"")</f>
        <v/>
      </c>
      <c r="E78" s="5">
        <f>IF(AND(ISNUMBER(C78),ISNUMBER(D78),C78&gt;=0.2,C78&lt;=0.8),D78,"")</f>
        <v/>
      </c>
      <c r="F78" s="5">
        <f>IF(ISNUMBER(E78),A78,"")</f>
        <v/>
      </c>
      <c r="G78" s="5">
        <f>IF(AND(ISNUMBER(E78),ISNUMBER($K$4)),E78-($K$7+$K$4*A78),"")</f>
        <v/>
      </c>
    </row>
    <row r="79">
      <c r="A79" s="4" t="n"/>
      <c r="B79" s="4" t="n"/>
      <c r="C79" s="5">
        <f>IF(AND(ISNUMBER(A79),ISNUMBER(B79),ISNUMBER($K$2),ISNUMBER($K$3),$K$3&gt;$K$2),(B79-$K$2)/($K$3-$K$2),"")</f>
        <v/>
      </c>
      <c r="D79" s="5">
        <f>IF(ISNUMBER(C79),IF(B79&lt;$K$3,LN(($K$3-$K$2)/($K$3-B79)),""),"")</f>
        <v/>
      </c>
      <c r="E79" s="5">
        <f>IF(AND(ISNUMBER(C79),ISNUMBER(D79),C79&gt;=0.2,C79&lt;=0.8),D79,"")</f>
        <v/>
      </c>
      <c r="F79" s="5">
        <f>IF(ISNUMBER(E79),A79,"")</f>
        <v/>
      </c>
      <c r="G79" s="5">
        <f>IF(AND(ISNUMBER(E79),ISNUMBER($K$4)),E79-($K$7+$K$4*A79),"")</f>
        <v/>
      </c>
    </row>
    <row r="80">
      <c r="A80" s="4" t="n"/>
      <c r="B80" s="4" t="n"/>
      <c r="C80" s="5">
        <f>IF(AND(ISNUMBER(A80),ISNUMBER(B80),ISNUMBER($K$2),ISNUMBER($K$3),$K$3&gt;$K$2),(B80-$K$2)/($K$3-$K$2),"")</f>
        <v/>
      </c>
      <c r="D80" s="5">
        <f>IF(ISNUMBER(C80),IF(B80&lt;$K$3,LN(($K$3-$K$2)/($K$3-B80)),""),"")</f>
        <v/>
      </c>
      <c r="E80" s="5">
        <f>IF(AND(ISNUMBER(C80),ISNUMBER(D80),C80&gt;=0.2,C80&lt;=0.8),D80,"")</f>
        <v/>
      </c>
      <c r="F80" s="5">
        <f>IF(ISNUMBER(E80),A80,"")</f>
        <v/>
      </c>
      <c r="G80" s="5">
        <f>IF(AND(ISNUMBER(E80),ISNUMBER($K$4)),E80-($K$7+$K$4*A80),"")</f>
        <v/>
      </c>
    </row>
    <row r="81">
      <c r="A81" s="4" t="n"/>
      <c r="B81" s="4" t="n"/>
      <c r="C81" s="5">
        <f>IF(AND(ISNUMBER(A81),ISNUMBER(B81),ISNUMBER($K$2),ISNUMBER($K$3),$K$3&gt;$K$2),(B81-$K$2)/($K$3-$K$2),"")</f>
        <v/>
      </c>
      <c r="D81" s="5">
        <f>IF(ISNUMBER(C81),IF(B81&lt;$K$3,LN(($K$3-$K$2)/($K$3-B81)),""),"")</f>
        <v/>
      </c>
      <c r="E81" s="5">
        <f>IF(AND(ISNUMBER(C81),ISNUMBER(D81),C81&gt;=0.2,C81&lt;=0.8),D81,"")</f>
        <v/>
      </c>
      <c r="F81" s="5">
        <f>IF(ISNUMBER(E81),A81,"")</f>
        <v/>
      </c>
      <c r="G81" s="5">
        <f>IF(AND(ISNUMBER(E81),ISNUMBER($K$4)),E81-($K$7+$K$4*A81),"")</f>
        <v/>
      </c>
    </row>
    <row r="82">
      <c r="A82" s="4" t="n"/>
      <c r="B82" s="4" t="n"/>
      <c r="C82" s="5">
        <f>IF(AND(ISNUMBER(A82),ISNUMBER(B82),ISNUMBER($K$2),ISNUMBER($K$3),$K$3&gt;$K$2),(B82-$K$2)/($K$3-$K$2),"")</f>
        <v/>
      </c>
      <c r="D82" s="5">
        <f>IF(ISNUMBER(C82),IF(B82&lt;$K$3,LN(($K$3-$K$2)/($K$3-B82)),""),"")</f>
        <v/>
      </c>
      <c r="E82" s="5">
        <f>IF(AND(ISNUMBER(C82),ISNUMBER(D82),C82&gt;=0.2,C82&lt;=0.8),D82,"")</f>
        <v/>
      </c>
      <c r="F82" s="5">
        <f>IF(ISNUMBER(E82),A82,"")</f>
        <v/>
      </c>
      <c r="G82" s="5">
        <f>IF(AND(ISNUMBER(E82),ISNUMBER($K$4)),E82-($K$7+$K$4*A82),"")</f>
        <v/>
      </c>
    </row>
    <row r="83">
      <c r="A83" s="4" t="n"/>
      <c r="B83" s="4" t="n"/>
      <c r="C83" s="5">
        <f>IF(AND(ISNUMBER(A83),ISNUMBER(B83),ISNUMBER($K$2),ISNUMBER($K$3),$K$3&gt;$K$2),(B83-$K$2)/($K$3-$K$2),"")</f>
        <v/>
      </c>
      <c r="D83" s="5">
        <f>IF(ISNUMBER(C83),IF(B83&lt;$K$3,LN(($K$3-$K$2)/($K$3-B83)),""),"")</f>
        <v/>
      </c>
      <c r="E83" s="5">
        <f>IF(AND(ISNUMBER(C83),ISNUMBER(D83),C83&gt;=0.2,C83&lt;=0.8),D83,"")</f>
        <v/>
      </c>
      <c r="F83" s="5">
        <f>IF(ISNUMBER(E83),A83,"")</f>
        <v/>
      </c>
      <c r="G83" s="5">
        <f>IF(AND(ISNUMBER(E83),ISNUMBER($K$4)),E83-($K$7+$K$4*A83),"")</f>
        <v/>
      </c>
    </row>
    <row r="84">
      <c r="A84" s="4" t="n"/>
      <c r="B84" s="4" t="n"/>
      <c r="C84" s="5">
        <f>IF(AND(ISNUMBER(A84),ISNUMBER(B84),ISNUMBER($K$2),ISNUMBER($K$3),$K$3&gt;$K$2),(B84-$K$2)/($K$3-$K$2),"")</f>
        <v/>
      </c>
      <c r="D84" s="5">
        <f>IF(ISNUMBER(C84),IF(B84&lt;$K$3,LN(($K$3-$K$2)/($K$3-B84)),""),"")</f>
        <v/>
      </c>
      <c r="E84" s="5">
        <f>IF(AND(ISNUMBER(C84),ISNUMBER(D84),C84&gt;=0.2,C84&lt;=0.8),D84,"")</f>
        <v/>
      </c>
      <c r="F84" s="5">
        <f>IF(ISNUMBER(E84),A84,"")</f>
        <v/>
      </c>
      <c r="G84" s="5">
        <f>IF(AND(ISNUMBER(E84),ISNUMBER($K$4)),E84-($K$7+$K$4*A84),"")</f>
        <v/>
      </c>
    </row>
    <row r="85">
      <c r="A85" s="4" t="n"/>
      <c r="B85" s="4" t="n"/>
      <c r="C85" s="5">
        <f>IF(AND(ISNUMBER(A85),ISNUMBER(B85),ISNUMBER($K$2),ISNUMBER($K$3),$K$3&gt;$K$2),(B85-$K$2)/($K$3-$K$2),"")</f>
        <v/>
      </c>
      <c r="D85" s="5">
        <f>IF(ISNUMBER(C85),IF(B85&lt;$K$3,LN(($K$3-$K$2)/($K$3-B85)),""),"")</f>
        <v/>
      </c>
      <c r="E85" s="5">
        <f>IF(AND(ISNUMBER(C85),ISNUMBER(D85),C85&gt;=0.2,C85&lt;=0.8),D85,"")</f>
        <v/>
      </c>
      <c r="F85" s="5">
        <f>IF(ISNUMBER(E85),A85,"")</f>
        <v/>
      </c>
      <c r="G85" s="5">
        <f>IF(AND(ISNUMBER(E85),ISNUMBER($K$4)),E85-($K$7+$K$4*A85),"")</f>
        <v/>
      </c>
    </row>
    <row r="86">
      <c r="A86" s="4" t="n"/>
      <c r="B86" s="4" t="n"/>
      <c r="C86" s="5">
        <f>IF(AND(ISNUMBER(A86),ISNUMBER(B86),ISNUMBER($K$2),ISNUMBER($K$3),$K$3&gt;$K$2),(B86-$K$2)/($K$3-$K$2),"")</f>
        <v/>
      </c>
      <c r="D86" s="5">
        <f>IF(ISNUMBER(C86),IF(B86&lt;$K$3,LN(($K$3-$K$2)/($K$3-B86)),""),"")</f>
        <v/>
      </c>
      <c r="E86" s="5">
        <f>IF(AND(ISNUMBER(C86),ISNUMBER(D86),C86&gt;=0.2,C86&lt;=0.8),D86,"")</f>
        <v/>
      </c>
      <c r="F86" s="5">
        <f>IF(ISNUMBER(E86),A86,"")</f>
        <v/>
      </c>
      <c r="G86" s="5">
        <f>IF(AND(ISNUMBER(E86),ISNUMBER($K$4)),E86-($K$7+$K$4*A86),"")</f>
        <v/>
      </c>
    </row>
    <row r="87">
      <c r="A87" s="4" t="n"/>
      <c r="B87" s="4" t="n"/>
      <c r="C87" s="5">
        <f>IF(AND(ISNUMBER(A87),ISNUMBER(B87),ISNUMBER($K$2),ISNUMBER($K$3),$K$3&gt;$K$2),(B87-$K$2)/($K$3-$K$2),"")</f>
        <v/>
      </c>
      <c r="D87" s="5">
        <f>IF(ISNUMBER(C87),IF(B87&lt;$K$3,LN(($K$3-$K$2)/($K$3-B87)),""),"")</f>
        <v/>
      </c>
      <c r="E87" s="5">
        <f>IF(AND(ISNUMBER(C87),ISNUMBER(D87),C87&gt;=0.2,C87&lt;=0.8),D87,"")</f>
        <v/>
      </c>
      <c r="F87" s="5">
        <f>IF(ISNUMBER(E87),A87,"")</f>
        <v/>
      </c>
      <c r="G87" s="5">
        <f>IF(AND(ISNUMBER(E87),ISNUMBER($K$4)),E87-($K$7+$K$4*A87),"")</f>
        <v/>
      </c>
    </row>
    <row r="88">
      <c r="A88" s="4" t="n"/>
      <c r="B88" s="4" t="n"/>
      <c r="C88" s="5">
        <f>IF(AND(ISNUMBER(A88),ISNUMBER(B88),ISNUMBER($K$2),ISNUMBER($K$3),$K$3&gt;$K$2),(B88-$K$2)/($K$3-$K$2),"")</f>
        <v/>
      </c>
      <c r="D88" s="5">
        <f>IF(ISNUMBER(C88),IF(B88&lt;$K$3,LN(($K$3-$K$2)/($K$3-B88)),""),"")</f>
        <v/>
      </c>
      <c r="E88" s="5">
        <f>IF(AND(ISNUMBER(C88),ISNUMBER(D88),C88&gt;=0.2,C88&lt;=0.8),D88,"")</f>
        <v/>
      </c>
      <c r="F88" s="5">
        <f>IF(ISNUMBER(E88),A88,"")</f>
        <v/>
      </c>
      <c r="G88" s="5">
        <f>IF(AND(ISNUMBER(E88),ISNUMBER($K$4)),E88-($K$7+$K$4*A88),"")</f>
        <v/>
      </c>
    </row>
    <row r="89">
      <c r="A89" s="4" t="n"/>
      <c r="B89" s="4" t="n"/>
      <c r="C89" s="5">
        <f>IF(AND(ISNUMBER(A89),ISNUMBER(B89),ISNUMBER($K$2),ISNUMBER($K$3),$K$3&gt;$K$2),(B89-$K$2)/($K$3-$K$2),"")</f>
        <v/>
      </c>
      <c r="D89" s="5">
        <f>IF(ISNUMBER(C89),IF(B89&lt;$K$3,LN(($K$3-$K$2)/($K$3-B89)),""),"")</f>
        <v/>
      </c>
      <c r="E89" s="5">
        <f>IF(AND(ISNUMBER(C89),ISNUMBER(D89),C89&gt;=0.2,C89&lt;=0.8),D89,"")</f>
        <v/>
      </c>
      <c r="F89" s="5">
        <f>IF(ISNUMBER(E89),A89,"")</f>
        <v/>
      </c>
      <c r="G89" s="5">
        <f>IF(AND(ISNUMBER(E89),ISNUMBER($K$4)),E89-($K$7+$K$4*A89),"")</f>
        <v/>
      </c>
    </row>
    <row r="90">
      <c r="A90" s="4" t="n"/>
      <c r="B90" s="4" t="n"/>
      <c r="C90" s="5">
        <f>IF(AND(ISNUMBER(A90),ISNUMBER(B90),ISNUMBER($K$2),ISNUMBER($K$3),$K$3&gt;$K$2),(B90-$K$2)/($K$3-$K$2),"")</f>
        <v/>
      </c>
      <c r="D90" s="5">
        <f>IF(ISNUMBER(C90),IF(B90&lt;$K$3,LN(($K$3-$K$2)/($K$3-B90)),""),"")</f>
        <v/>
      </c>
      <c r="E90" s="5">
        <f>IF(AND(ISNUMBER(C90),ISNUMBER(D90),C90&gt;=0.2,C90&lt;=0.8),D90,"")</f>
        <v/>
      </c>
      <c r="F90" s="5">
        <f>IF(ISNUMBER(E90),A90,"")</f>
        <v/>
      </c>
      <c r="G90" s="5">
        <f>IF(AND(ISNUMBER(E90),ISNUMBER($K$4)),E90-($K$7+$K$4*A90),"")</f>
        <v/>
      </c>
    </row>
    <row r="91">
      <c r="A91" s="4" t="n"/>
      <c r="B91" s="4" t="n"/>
      <c r="C91" s="5">
        <f>IF(AND(ISNUMBER(A91),ISNUMBER(B91),ISNUMBER($K$2),ISNUMBER($K$3),$K$3&gt;$K$2),(B91-$K$2)/($K$3-$K$2),"")</f>
        <v/>
      </c>
      <c r="D91" s="5">
        <f>IF(ISNUMBER(C91),IF(B91&lt;$K$3,LN(($K$3-$K$2)/($K$3-B91)),""),"")</f>
        <v/>
      </c>
      <c r="E91" s="5">
        <f>IF(AND(ISNUMBER(C91),ISNUMBER(D91),C91&gt;=0.2,C91&lt;=0.8),D91,"")</f>
        <v/>
      </c>
      <c r="F91" s="5">
        <f>IF(ISNUMBER(E91),A91,"")</f>
        <v/>
      </c>
      <c r="G91" s="5">
        <f>IF(AND(ISNUMBER(E91),ISNUMBER($K$4)),E91-($K$7+$K$4*A91),"")</f>
        <v/>
      </c>
    </row>
    <row r="92">
      <c r="A92" s="4" t="n"/>
      <c r="B92" s="4" t="n"/>
      <c r="C92" s="5">
        <f>IF(AND(ISNUMBER(A92),ISNUMBER(B92),ISNUMBER($K$2),ISNUMBER($K$3),$K$3&gt;$K$2),(B92-$K$2)/($K$3-$K$2),"")</f>
        <v/>
      </c>
      <c r="D92" s="5">
        <f>IF(ISNUMBER(C92),IF(B92&lt;$K$3,LN(($K$3-$K$2)/($K$3-B92)),""),"")</f>
        <v/>
      </c>
      <c r="E92" s="5">
        <f>IF(AND(ISNUMBER(C92),ISNUMBER(D92),C92&gt;=0.2,C92&lt;=0.8),D92,"")</f>
        <v/>
      </c>
      <c r="F92" s="5">
        <f>IF(ISNUMBER(E92),A92,"")</f>
        <v/>
      </c>
      <c r="G92" s="5">
        <f>IF(AND(ISNUMBER(E92),ISNUMBER($K$4)),E92-($K$7+$K$4*A92),"")</f>
        <v/>
      </c>
    </row>
    <row r="93">
      <c r="A93" s="4" t="n"/>
      <c r="B93" s="4" t="n"/>
      <c r="C93" s="5">
        <f>IF(AND(ISNUMBER(A93),ISNUMBER(B93),ISNUMBER($K$2),ISNUMBER($K$3),$K$3&gt;$K$2),(B93-$K$2)/($K$3-$K$2),"")</f>
        <v/>
      </c>
      <c r="D93" s="5">
        <f>IF(ISNUMBER(C93),IF(B93&lt;$K$3,LN(($K$3-$K$2)/($K$3-B93)),""),"")</f>
        <v/>
      </c>
      <c r="E93" s="5">
        <f>IF(AND(ISNUMBER(C93),ISNUMBER(D93),C93&gt;=0.2,C93&lt;=0.8),D93,"")</f>
        <v/>
      </c>
      <c r="F93" s="5">
        <f>IF(ISNUMBER(E93),A93,"")</f>
        <v/>
      </c>
      <c r="G93" s="5">
        <f>IF(AND(ISNUMBER(E93),ISNUMBER($K$4)),E93-($K$7+$K$4*A93),"")</f>
        <v/>
      </c>
    </row>
    <row r="94">
      <c r="A94" s="4" t="n"/>
      <c r="B94" s="4" t="n"/>
      <c r="C94" s="5">
        <f>IF(AND(ISNUMBER(A94),ISNUMBER(B94),ISNUMBER($K$2),ISNUMBER($K$3),$K$3&gt;$K$2),(B94-$K$2)/($K$3-$K$2),"")</f>
        <v/>
      </c>
      <c r="D94" s="5">
        <f>IF(ISNUMBER(C94),IF(B94&lt;$K$3,LN(($K$3-$K$2)/($K$3-B94)),""),"")</f>
        <v/>
      </c>
      <c r="E94" s="5">
        <f>IF(AND(ISNUMBER(C94),ISNUMBER(D94),C94&gt;=0.2,C94&lt;=0.8),D94,"")</f>
        <v/>
      </c>
      <c r="F94" s="5">
        <f>IF(ISNUMBER(E94),A94,"")</f>
        <v/>
      </c>
      <c r="G94" s="5">
        <f>IF(AND(ISNUMBER(E94),ISNUMBER($K$4)),E94-($K$7+$K$4*A94),"")</f>
        <v/>
      </c>
    </row>
    <row r="95">
      <c r="A95" s="4" t="n"/>
      <c r="B95" s="4" t="n"/>
      <c r="C95" s="5">
        <f>IF(AND(ISNUMBER(A95),ISNUMBER(B95),ISNUMBER($K$2),ISNUMBER($K$3),$K$3&gt;$K$2),(B95-$K$2)/($K$3-$K$2),"")</f>
        <v/>
      </c>
      <c r="D95" s="5">
        <f>IF(ISNUMBER(C95),IF(B95&lt;$K$3,LN(($K$3-$K$2)/($K$3-B95)),""),"")</f>
        <v/>
      </c>
      <c r="E95" s="5">
        <f>IF(AND(ISNUMBER(C95),ISNUMBER(D95),C95&gt;=0.2,C95&lt;=0.8),D95,"")</f>
        <v/>
      </c>
      <c r="F95" s="5">
        <f>IF(ISNUMBER(E95),A95,"")</f>
        <v/>
      </c>
      <c r="G95" s="5">
        <f>IF(AND(ISNUMBER(E95),ISNUMBER($K$4)),E95-($K$7+$K$4*A95),"")</f>
        <v/>
      </c>
    </row>
    <row r="96">
      <c r="A96" s="4" t="n"/>
      <c r="B96" s="4" t="n"/>
      <c r="C96" s="5">
        <f>IF(AND(ISNUMBER(A96),ISNUMBER(B96),ISNUMBER($K$2),ISNUMBER($K$3),$K$3&gt;$K$2),(B96-$K$2)/($K$3-$K$2),"")</f>
        <v/>
      </c>
      <c r="D96" s="5">
        <f>IF(ISNUMBER(C96),IF(B96&lt;$K$3,LN(($K$3-$K$2)/($K$3-B96)),""),"")</f>
        <v/>
      </c>
      <c r="E96" s="5">
        <f>IF(AND(ISNUMBER(C96),ISNUMBER(D96),C96&gt;=0.2,C96&lt;=0.8),D96,"")</f>
        <v/>
      </c>
      <c r="F96" s="5">
        <f>IF(ISNUMBER(E96),A96,"")</f>
        <v/>
      </c>
      <c r="G96" s="5">
        <f>IF(AND(ISNUMBER(E96),ISNUMBER($K$4)),E96-($K$7+$K$4*A96),"")</f>
        <v/>
      </c>
    </row>
    <row r="97">
      <c r="A97" s="4" t="n"/>
      <c r="B97" s="4" t="n"/>
      <c r="C97" s="5">
        <f>IF(AND(ISNUMBER(A97),ISNUMBER(B97),ISNUMBER($K$2),ISNUMBER($K$3),$K$3&gt;$K$2),(B97-$K$2)/($K$3-$K$2),"")</f>
        <v/>
      </c>
      <c r="D97" s="5">
        <f>IF(ISNUMBER(C97),IF(B97&lt;$K$3,LN(($K$3-$K$2)/($K$3-B97)),""),"")</f>
        <v/>
      </c>
      <c r="E97" s="5">
        <f>IF(AND(ISNUMBER(C97),ISNUMBER(D97),C97&gt;=0.2,C97&lt;=0.8),D97,"")</f>
        <v/>
      </c>
      <c r="F97" s="5">
        <f>IF(ISNUMBER(E97),A97,"")</f>
        <v/>
      </c>
      <c r="G97" s="5">
        <f>IF(AND(ISNUMBER(E97),ISNUMBER($K$4)),E97-($K$7+$K$4*A97),"")</f>
        <v/>
      </c>
    </row>
    <row r="98">
      <c r="A98" s="4" t="n"/>
      <c r="B98" s="4" t="n"/>
      <c r="C98" s="5">
        <f>IF(AND(ISNUMBER(A98),ISNUMBER(B98),ISNUMBER($K$2),ISNUMBER($K$3),$K$3&gt;$K$2),(B98-$K$2)/($K$3-$K$2),"")</f>
        <v/>
      </c>
      <c r="D98" s="5">
        <f>IF(ISNUMBER(C98),IF(B98&lt;$K$3,LN(($K$3-$K$2)/($K$3-B98)),""),"")</f>
        <v/>
      </c>
      <c r="E98" s="5">
        <f>IF(AND(ISNUMBER(C98),ISNUMBER(D98),C98&gt;=0.2,C98&lt;=0.8),D98,"")</f>
        <v/>
      </c>
      <c r="F98" s="5">
        <f>IF(ISNUMBER(E98),A98,"")</f>
        <v/>
      </c>
      <c r="G98" s="5">
        <f>IF(AND(ISNUMBER(E98),ISNUMBER($K$4)),E98-($K$7+$K$4*A98),"")</f>
        <v/>
      </c>
    </row>
    <row r="99">
      <c r="A99" s="4" t="n"/>
      <c r="B99" s="4" t="n"/>
      <c r="C99" s="5">
        <f>IF(AND(ISNUMBER(A99),ISNUMBER(B99),ISNUMBER($K$2),ISNUMBER($K$3),$K$3&gt;$K$2),(B99-$K$2)/($K$3-$K$2),"")</f>
        <v/>
      </c>
      <c r="D99" s="5">
        <f>IF(ISNUMBER(C99),IF(B99&lt;$K$3,LN(($K$3-$K$2)/($K$3-B99)),""),"")</f>
        <v/>
      </c>
      <c r="E99" s="5">
        <f>IF(AND(ISNUMBER(C99),ISNUMBER(D99),C99&gt;=0.2,C99&lt;=0.8),D99,"")</f>
        <v/>
      </c>
      <c r="F99" s="5">
        <f>IF(ISNUMBER(E99),A99,"")</f>
        <v/>
      </c>
      <c r="G99" s="5">
        <f>IF(AND(ISNUMBER(E99),ISNUMBER($K$4)),E99-($K$7+$K$4*A99),"")</f>
        <v/>
      </c>
    </row>
    <row r="100">
      <c r="A100" s="4" t="n"/>
      <c r="B100" s="4" t="n"/>
      <c r="C100" s="5">
        <f>IF(AND(ISNUMBER(A100),ISNUMBER(B100),ISNUMBER($K$2),ISNUMBER($K$3),$K$3&gt;$K$2),(B100-$K$2)/($K$3-$K$2),"")</f>
        <v/>
      </c>
      <c r="D100" s="5">
        <f>IF(ISNUMBER(C100),IF(B100&lt;$K$3,LN(($K$3-$K$2)/($K$3-B100)),""),"")</f>
        <v/>
      </c>
      <c r="E100" s="5">
        <f>IF(AND(ISNUMBER(C100),ISNUMBER(D100),C100&gt;=0.2,C100&lt;=0.8),D100,"")</f>
        <v/>
      </c>
      <c r="F100" s="5">
        <f>IF(ISNUMBER(E100),A100,"")</f>
        <v/>
      </c>
      <c r="G100" s="5">
        <f>IF(AND(ISNUMBER(E100),ISNUMBER($K$4)),E100-($K$7+$K$4*A100),"")</f>
        <v/>
      </c>
    </row>
    <row r="101">
      <c r="A101" s="4" t="n"/>
      <c r="B101" s="4" t="n"/>
      <c r="C101" s="5">
        <f>IF(AND(ISNUMBER(A101),ISNUMBER(B101),ISNUMBER($K$2),ISNUMBER($K$3),$K$3&gt;$K$2),(B101-$K$2)/($K$3-$K$2),"")</f>
        <v/>
      </c>
      <c r="D101" s="5">
        <f>IF(ISNUMBER(C101),IF(B101&lt;$K$3,LN(($K$3-$K$2)/($K$3-B101)),""),"")</f>
        <v/>
      </c>
      <c r="E101" s="5">
        <f>IF(AND(ISNUMBER(C101),ISNUMBER(D101),C101&gt;=0.2,C101&lt;=0.8),D101,"")</f>
        <v/>
      </c>
      <c r="F101" s="5">
        <f>IF(ISNUMBER(E101),A101,"")</f>
        <v/>
      </c>
      <c r="G101" s="5">
        <f>IF(AND(ISNUMBER(E101),ISNUMBER($K$4)),E101-($K$7+$K$4*A101),"")</f>
        <v/>
      </c>
    </row>
    <row r="102">
      <c r="A102" s="4" t="n"/>
      <c r="B102" s="4" t="n"/>
      <c r="C102" s="5">
        <f>IF(AND(ISNUMBER(A102),ISNUMBER(B102),ISNUMBER($K$2),ISNUMBER($K$3),$K$3&gt;$K$2),(B102-$K$2)/($K$3-$K$2),"")</f>
        <v/>
      </c>
      <c r="D102" s="5">
        <f>IF(ISNUMBER(C102),IF(B102&lt;$K$3,LN(($K$3-$K$2)/($K$3-B102)),""),"")</f>
        <v/>
      </c>
      <c r="E102" s="5">
        <f>IF(AND(ISNUMBER(C102),ISNUMBER(D102),C102&gt;=0.2,C102&lt;=0.8),D102,"")</f>
        <v/>
      </c>
      <c r="F102" s="5">
        <f>IF(ISNUMBER(E102),A102,"")</f>
        <v/>
      </c>
      <c r="G102" s="5">
        <f>IF(AND(ISNUMBER(E102),ISNUMBER($K$4)),E102-($K$7+$K$4*A102),"")</f>
        <v/>
      </c>
    </row>
    <row r="103">
      <c r="A103" s="4" t="n"/>
      <c r="B103" s="4" t="n"/>
      <c r="C103" s="5">
        <f>IF(AND(ISNUMBER(A103),ISNUMBER(B103),ISNUMBER($K$2),ISNUMBER($K$3),$K$3&gt;$K$2),(B103-$K$2)/($K$3-$K$2),"")</f>
        <v/>
      </c>
      <c r="D103" s="5">
        <f>IF(ISNUMBER(C103),IF(B103&lt;$K$3,LN(($K$3-$K$2)/($K$3-B103)),""),"")</f>
        <v/>
      </c>
      <c r="E103" s="5">
        <f>IF(AND(ISNUMBER(C103),ISNUMBER(D103),C103&gt;=0.2,C103&lt;=0.8),D103,"")</f>
        <v/>
      </c>
      <c r="F103" s="5">
        <f>IF(ISNUMBER(E103),A103,"")</f>
        <v/>
      </c>
      <c r="G103" s="5">
        <f>IF(AND(ISNUMBER(E103),ISNUMBER($K$4)),E103-($K$7+$K$4*A103),"")</f>
        <v/>
      </c>
    </row>
    <row r="104">
      <c r="A104" s="4" t="n"/>
      <c r="B104" s="4" t="n"/>
      <c r="C104" s="5">
        <f>IF(AND(ISNUMBER(A104),ISNUMBER(B104),ISNUMBER($K$2),ISNUMBER($K$3),$K$3&gt;$K$2),(B104-$K$2)/($K$3-$K$2),"")</f>
        <v/>
      </c>
      <c r="D104" s="5">
        <f>IF(ISNUMBER(C104),IF(B104&lt;$K$3,LN(($K$3-$K$2)/($K$3-B104)),""),"")</f>
        <v/>
      </c>
      <c r="E104" s="5">
        <f>IF(AND(ISNUMBER(C104),ISNUMBER(D104),C104&gt;=0.2,C104&lt;=0.8),D104,"")</f>
        <v/>
      </c>
      <c r="F104" s="5">
        <f>IF(ISNUMBER(E104),A104,"")</f>
        <v/>
      </c>
      <c r="G104" s="5">
        <f>IF(AND(ISNUMBER(E104),ISNUMBER($K$4)),E104-($K$7+$K$4*A104),"")</f>
        <v/>
      </c>
    </row>
    <row r="105">
      <c r="A105" s="4" t="n"/>
      <c r="B105" s="4" t="n"/>
      <c r="C105" s="5">
        <f>IF(AND(ISNUMBER(A105),ISNUMBER(B105),ISNUMBER($K$2),ISNUMBER($K$3),$K$3&gt;$K$2),(B105-$K$2)/($K$3-$K$2),"")</f>
        <v/>
      </c>
      <c r="D105" s="5">
        <f>IF(ISNUMBER(C105),IF(B105&lt;$K$3,LN(($K$3-$K$2)/($K$3-B105)),""),"")</f>
        <v/>
      </c>
      <c r="E105" s="5">
        <f>IF(AND(ISNUMBER(C105),ISNUMBER(D105),C105&gt;=0.2,C105&lt;=0.8),D105,"")</f>
        <v/>
      </c>
      <c r="F105" s="5">
        <f>IF(ISNUMBER(E105),A105,"")</f>
        <v/>
      </c>
      <c r="G105" s="5">
        <f>IF(AND(ISNUMBER(E105),ISNUMBER($K$4)),E105-($K$7+$K$4*A105),"")</f>
        <v/>
      </c>
    </row>
    <row r="106">
      <c r="A106" s="4" t="n"/>
      <c r="B106" s="4" t="n"/>
      <c r="C106" s="5">
        <f>IF(AND(ISNUMBER(A106),ISNUMBER(B106),ISNUMBER($K$2),ISNUMBER($K$3),$K$3&gt;$K$2),(B106-$K$2)/($K$3-$K$2),"")</f>
        <v/>
      </c>
      <c r="D106" s="5">
        <f>IF(ISNUMBER(C106),IF(B106&lt;$K$3,LN(($K$3-$K$2)/($K$3-B106)),""),"")</f>
        <v/>
      </c>
      <c r="E106" s="5">
        <f>IF(AND(ISNUMBER(C106),ISNUMBER(D106),C106&gt;=0.2,C106&lt;=0.8),D106,"")</f>
        <v/>
      </c>
      <c r="F106" s="5">
        <f>IF(ISNUMBER(E106),A106,"")</f>
        <v/>
      </c>
      <c r="G106" s="5">
        <f>IF(AND(ISNUMBER(E106),ISNUMBER($K$4)),E106-($K$7+$K$4*A106),"")</f>
        <v/>
      </c>
    </row>
    <row r="107">
      <c r="A107" s="4" t="n"/>
      <c r="B107" s="4" t="n"/>
      <c r="C107" s="5">
        <f>IF(AND(ISNUMBER(A107),ISNUMBER(B107),ISNUMBER($K$2),ISNUMBER($K$3),$K$3&gt;$K$2),(B107-$K$2)/($K$3-$K$2),"")</f>
        <v/>
      </c>
      <c r="D107" s="5">
        <f>IF(ISNUMBER(C107),IF(B107&lt;$K$3,LN(($K$3-$K$2)/($K$3-B107)),""),"")</f>
        <v/>
      </c>
      <c r="E107" s="5">
        <f>IF(AND(ISNUMBER(C107),ISNUMBER(D107),C107&gt;=0.2,C107&lt;=0.8),D107,"")</f>
        <v/>
      </c>
      <c r="F107" s="5">
        <f>IF(ISNUMBER(E107),A107,"")</f>
        <v/>
      </c>
      <c r="G107" s="5">
        <f>IF(AND(ISNUMBER(E107),ISNUMBER($K$4)),E107-($K$7+$K$4*A107),"")</f>
        <v/>
      </c>
    </row>
    <row r="108">
      <c r="A108" s="4" t="n"/>
      <c r="B108" s="4" t="n"/>
      <c r="C108" s="5">
        <f>IF(AND(ISNUMBER(A108),ISNUMBER(B108),ISNUMBER($K$2),ISNUMBER($K$3),$K$3&gt;$K$2),(B108-$K$2)/($K$3-$K$2),"")</f>
        <v/>
      </c>
      <c r="D108" s="5">
        <f>IF(ISNUMBER(C108),IF(B108&lt;$K$3,LN(($K$3-$K$2)/($K$3-B108)),""),"")</f>
        <v/>
      </c>
      <c r="E108" s="5">
        <f>IF(AND(ISNUMBER(C108),ISNUMBER(D108),C108&gt;=0.2,C108&lt;=0.8),D108,"")</f>
        <v/>
      </c>
      <c r="F108" s="5">
        <f>IF(ISNUMBER(E108),A108,"")</f>
        <v/>
      </c>
      <c r="G108" s="5">
        <f>IF(AND(ISNUMBER(E108),ISNUMBER($K$4)),E108-($K$7+$K$4*A108),"")</f>
        <v/>
      </c>
    </row>
    <row r="109">
      <c r="A109" s="4" t="n"/>
      <c r="B109" s="4" t="n"/>
      <c r="C109" s="5">
        <f>IF(AND(ISNUMBER(A109),ISNUMBER(B109),ISNUMBER($K$2),ISNUMBER($K$3),$K$3&gt;$K$2),(B109-$K$2)/($K$3-$K$2),"")</f>
        <v/>
      </c>
      <c r="D109" s="5">
        <f>IF(ISNUMBER(C109),IF(B109&lt;$K$3,LN(($K$3-$K$2)/($K$3-B109)),""),"")</f>
        <v/>
      </c>
      <c r="E109" s="5">
        <f>IF(AND(ISNUMBER(C109),ISNUMBER(D109),C109&gt;=0.2,C109&lt;=0.8),D109,"")</f>
        <v/>
      </c>
      <c r="F109" s="5">
        <f>IF(ISNUMBER(E109),A109,"")</f>
        <v/>
      </c>
      <c r="G109" s="5">
        <f>IF(AND(ISNUMBER(E109),ISNUMBER($K$4)),E109-($K$7+$K$4*A109),"")</f>
        <v/>
      </c>
    </row>
    <row r="110">
      <c r="A110" s="4" t="n"/>
      <c r="B110" s="4" t="n"/>
      <c r="C110" s="5">
        <f>IF(AND(ISNUMBER(A110),ISNUMBER(B110),ISNUMBER($K$2),ISNUMBER($K$3),$K$3&gt;$K$2),(B110-$K$2)/($K$3-$K$2),"")</f>
        <v/>
      </c>
      <c r="D110" s="5">
        <f>IF(ISNUMBER(C110),IF(B110&lt;$K$3,LN(($K$3-$K$2)/($K$3-B110)),""),"")</f>
        <v/>
      </c>
      <c r="E110" s="5">
        <f>IF(AND(ISNUMBER(C110),ISNUMBER(D110),C110&gt;=0.2,C110&lt;=0.8),D110,"")</f>
        <v/>
      </c>
      <c r="F110" s="5">
        <f>IF(ISNUMBER(E110),A110,"")</f>
        <v/>
      </c>
      <c r="G110" s="5">
        <f>IF(AND(ISNUMBER(E110),ISNUMBER($K$4)),E110-($K$7+$K$4*A110),"")</f>
        <v/>
      </c>
    </row>
    <row r="111">
      <c r="A111" s="4" t="n"/>
      <c r="B111" s="4" t="n"/>
      <c r="C111" s="5">
        <f>IF(AND(ISNUMBER(A111),ISNUMBER(B111),ISNUMBER($K$2),ISNUMBER($K$3),$K$3&gt;$K$2),(B111-$K$2)/($K$3-$K$2),"")</f>
        <v/>
      </c>
      <c r="D111" s="5">
        <f>IF(ISNUMBER(C111),IF(B111&lt;$K$3,LN(($K$3-$K$2)/($K$3-B111)),""),"")</f>
        <v/>
      </c>
      <c r="E111" s="5">
        <f>IF(AND(ISNUMBER(C111),ISNUMBER(D111),C111&gt;=0.2,C111&lt;=0.8),D111,"")</f>
        <v/>
      </c>
      <c r="F111" s="5">
        <f>IF(ISNUMBER(E111),A111,"")</f>
        <v/>
      </c>
      <c r="G111" s="5">
        <f>IF(AND(ISNUMBER(E111),ISNUMBER($K$4)),E111-($K$7+$K$4*A111),"")</f>
        <v/>
      </c>
    </row>
    <row r="112">
      <c r="A112" s="4" t="n"/>
      <c r="B112" s="4" t="n"/>
      <c r="C112" s="5">
        <f>IF(AND(ISNUMBER(A112),ISNUMBER(B112),ISNUMBER($K$2),ISNUMBER($K$3),$K$3&gt;$K$2),(B112-$K$2)/($K$3-$K$2),"")</f>
        <v/>
      </c>
      <c r="D112" s="5">
        <f>IF(ISNUMBER(C112),IF(B112&lt;$K$3,LN(($K$3-$K$2)/($K$3-B112)),""),"")</f>
        <v/>
      </c>
      <c r="E112" s="5">
        <f>IF(AND(ISNUMBER(C112),ISNUMBER(D112),C112&gt;=0.2,C112&lt;=0.8),D112,"")</f>
        <v/>
      </c>
      <c r="F112" s="5">
        <f>IF(ISNUMBER(E112),A112,"")</f>
        <v/>
      </c>
      <c r="G112" s="5">
        <f>IF(AND(ISNUMBER(E112),ISNUMBER($K$4)),E112-($K$7+$K$4*A112),"")</f>
        <v/>
      </c>
    </row>
    <row r="113">
      <c r="A113" s="4" t="n"/>
      <c r="B113" s="4" t="n"/>
      <c r="C113" s="5">
        <f>IF(AND(ISNUMBER(A113),ISNUMBER(B113),ISNUMBER($K$2),ISNUMBER($K$3),$K$3&gt;$K$2),(B113-$K$2)/($K$3-$K$2),"")</f>
        <v/>
      </c>
      <c r="D113" s="5">
        <f>IF(ISNUMBER(C113),IF(B113&lt;$K$3,LN(($K$3-$K$2)/($K$3-B113)),""),"")</f>
        <v/>
      </c>
      <c r="E113" s="5">
        <f>IF(AND(ISNUMBER(C113),ISNUMBER(D113),C113&gt;=0.2,C113&lt;=0.8),D113,"")</f>
        <v/>
      </c>
      <c r="F113" s="5">
        <f>IF(ISNUMBER(E113),A113,"")</f>
        <v/>
      </c>
      <c r="G113" s="5">
        <f>IF(AND(ISNUMBER(E113),ISNUMBER($K$4)),E113-($K$7+$K$4*A113),"")</f>
        <v/>
      </c>
    </row>
    <row r="114">
      <c r="A114" s="4" t="n"/>
      <c r="B114" s="4" t="n"/>
      <c r="C114" s="5">
        <f>IF(AND(ISNUMBER(A114),ISNUMBER(B114),ISNUMBER($K$2),ISNUMBER($K$3),$K$3&gt;$K$2),(B114-$K$2)/($K$3-$K$2),"")</f>
        <v/>
      </c>
      <c r="D114" s="5">
        <f>IF(ISNUMBER(C114),IF(B114&lt;$K$3,LN(($K$3-$K$2)/($K$3-B114)),""),"")</f>
        <v/>
      </c>
      <c r="E114" s="5">
        <f>IF(AND(ISNUMBER(C114),ISNUMBER(D114),C114&gt;=0.2,C114&lt;=0.8),D114,"")</f>
        <v/>
      </c>
      <c r="F114" s="5">
        <f>IF(ISNUMBER(E114),A114,"")</f>
        <v/>
      </c>
      <c r="G114" s="5">
        <f>IF(AND(ISNUMBER(E114),ISNUMBER($K$4)),E114-($K$7+$K$4*A114),"")</f>
        <v/>
      </c>
    </row>
    <row r="115">
      <c r="A115" s="4" t="n"/>
      <c r="B115" s="4" t="n"/>
      <c r="C115" s="5">
        <f>IF(AND(ISNUMBER(A115),ISNUMBER(B115),ISNUMBER($K$2),ISNUMBER($K$3),$K$3&gt;$K$2),(B115-$K$2)/($K$3-$K$2),"")</f>
        <v/>
      </c>
      <c r="D115" s="5">
        <f>IF(ISNUMBER(C115),IF(B115&lt;$K$3,LN(($K$3-$K$2)/($K$3-B115)),""),"")</f>
        <v/>
      </c>
      <c r="E115" s="5">
        <f>IF(AND(ISNUMBER(C115),ISNUMBER(D115),C115&gt;=0.2,C115&lt;=0.8),D115,"")</f>
        <v/>
      </c>
      <c r="F115" s="5">
        <f>IF(ISNUMBER(E115),A115,"")</f>
        <v/>
      </c>
      <c r="G115" s="5">
        <f>IF(AND(ISNUMBER(E115),ISNUMBER($K$4)),E115-($K$7+$K$4*A115),"")</f>
        <v/>
      </c>
    </row>
    <row r="116">
      <c r="A116" s="4" t="n"/>
      <c r="B116" s="4" t="n"/>
      <c r="C116" s="5">
        <f>IF(AND(ISNUMBER(A116),ISNUMBER(B116),ISNUMBER($K$2),ISNUMBER($K$3),$K$3&gt;$K$2),(B116-$K$2)/($K$3-$K$2),"")</f>
        <v/>
      </c>
      <c r="D116" s="5">
        <f>IF(ISNUMBER(C116),IF(B116&lt;$K$3,LN(($K$3-$K$2)/($K$3-B116)),""),"")</f>
        <v/>
      </c>
      <c r="E116" s="5">
        <f>IF(AND(ISNUMBER(C116),ISNUMBER(D116),C116&gt;=0.2,C116&lt;=0.8),D116,"")</f>
        <v/>
      </c>
      <c r="F116" s="5">
        <f>IF(ISNUMBER(E116),A116,"")</f>
        <v/>
      </c>
      <c r="G116" s="5">
        <f>IF(AND(ISNUMBER(E116),ISNUMBER($K$4)),E116-($K$7+$K$4*A116),"")</f>
        <v/>
      </c>
    </row>
    <row r="117">
      <c r="A117" s="4" t="n"/>
      <c r="B117" s="4" t="n"/>
      <c r="C117" s="5">
        <f>IF(AND(ISNUMBER(A117),ISNUMBER(B117),ISNUMBER($K$2),ISNUMBER($K$3),$K$3&gt;$K$2),(B117-$K$2)/($K$3-$K$2),"")</f>
        <v/>
      </c>
      <c r="D117" s="5">
        <f>IF(ISNUMBER(C117),IF(B117&lt;$K$3,LN(($K$3-$K$2)/($K$3-B117)),""),"")</f>
        <v/>
      </c>
      <c r="E117" s="5">
        <f>IF(AND(ISNUMBER(C117),ISNUMBER(D117),C117&gt;=0.2,C117&lt;=0.8),D117,"")</f>
        <v/>
      </c>
      <c r="F117" s="5">
        <f>IF(ISNUMBER(E117),A117,"")</f>
        <v/>
      </c>
      <c r="G117" s="5">
        <f>IF(AND(ISNUMBER(E117),ISNUMBER($K$4)),E117-($K$7+$K$4*A117),"")</f>
        <v/>
      </c>
    </row>
    <row r="118">
      <c r="A118" s="4" t="n"/>
      <c r="B118" s="4" t="n"/>
      <c r="C118" s="5">
        <f>IF(AND(ISNUMBER(A118),ISNUMBER(B118),ISNUMBER($K$2),ISNUMBER($K$3),$K$3&gt;$K$2),(B118-$K$2)/($K$3-$K$2),"")</f>
        <v/>
      </c>
      <c r="D118" s="5">
        <f>IF(ISNUMBER(C118),IF(B118&lt;$K$3,LN(($K$3-$K$2)/($K$3-B118)),""),"")</f>
        <v/>
      </c>
      <c r="E118" s="5">
        <f>IF(AND(ISNUMBER(C118),ISNUMBER(D118),C118&gt;=0.2,C118&lt;=0.8),D118,"")</f>
        <v/>
      </c>
      <c r="F118" s="5">
        <f>IF(ISNUMBER(E118),A118,"")</f>
        <v/>
      </c>
      <c r="G118" s="5">
        <f>IF(AND(ISNUMBER(E118),ISNUMBER($K$4)),E118-($K$7+$K$4*A118),"")</f>
        <v/>
      </c>
    </row>
    <row r="119">
      <c r="A119" s="4" t="n"/>
      <c r="B119" s="4" t="n"/>
      <c r="C119" s="5">
        <f>IF(AND(ISNUMBER(A119),ISNUMBER(B119),ISNUMBER($K$2),ISNUMBER($K$3),$K$3&gt;$K$2),(B119-$K$2)/($K$3-$K$2),"")</f>
        <v/>
      </c>
      <c r="D119" s="5">
        <f>IF(ISNUMBER(C119),IF(B119&lt;$K$3,LN(($K$3-$K$2)/($K$3-B119)),""),"")</f>
        <v/>
      </c>
      <c r="E119" s="5">
        <f>IF(AND(ISNUMBER(C119),ISNUMBER(D119),C119&gt;=0.2,C119&lt;=0.8),D119,"")</f>
        <v/>
      </c>
      <c r="F119" s="5">
        <f>IF(ISNUMBER(E119),A119,"")</f>
        <v/>
      </c>
      <c r="G119" s="5">
        <f>IF(AND(ISNUMBER(E119),ISNUMBER($K$4)),E119-($K$7+$K$4*A119),"")</f>
        <v/>
      </c>
    </row>
    <row r="120">
      <c r="A120" s="4" t="n"/>
      <c r="B120" s="4" t="n"/>
      <c r="C120" s="5">
        <f>IF(AND(ISNUMBER(A120),ISNUMBER(B120),ISNUMBER($K$2),ISNUMBER($K$3),$K$3&gt;$K$2),(B120-$K$2)/($K$3-$K$2),"")</f>
        <v/>
      </c>
      <c r="D120" s="5">
        <f>IF(ISNUMBER(C120),IF(B120&lt;$K$3,LN(($K$3-$K$2)/($K$3-B120)),""),"")</f>
        <v/>
      </c>
      <c r="E120" s="5">
        <f>IF(AND(ISNUMBER(C120),ISNUMBER(D120),C120&gt;=0.2,C120&lt;=0.8),D120,"")</f>
        <v/>
      </c>
      <c r="F120" s="5">
        <f>IF(ISNUMBER(E120),A120,"")</f>
        <v/>
      </c>
      <c r="G120" s="5">
        <f>IF(AND(ISNUMBER(E120),ISNUMBER($K$4)),E120-($K$7+$K$4*A120),"")</f>
        <v/>
      </c>
    </row>
    <row r="121">
      <c r="A121" s="4" t="n"/>
      <c r="B121" s="4" t="n"/>
      <c r="C121" s="5">
        <f>IF(AND(ISNUMBER(A121),ISNUMBER(B121),ISNUMBER($K$2),ISNUMBER($K$3),$K$3&gt;$K$2),(B121-$K$2)/($K$3-$K$2),"")</f>
        <v/>
      </c>
      <c r="D121" s="5">
        <f>IF(ISNUMBER(C121),IF(B121&lt;$K$3,LN(($K$3-$K$2)/($K$3-B121)),""),"")</f>
        <v/>
      </c>
      <c r="E121" s="5">
        <f>IF(AND(ISNUMBER(C121),ISNUMBER(D121),C121&gt;=0.2,C121&lt;=0.8),D121,"")</f>
        <v/>
      </c>
      <c r="F121" s="5">
        <f>IF(ISNUMBER(E121),A121,"")</f>
        <v/>
      </c>
      <c r="G121" s="5">
        <f>IF(AND(ISNUMBER(E121),ISNUMBER($K$4)),E121-($K$7+$K$4*A121),"")</f>
        <v/>
      </c>
    </row>
    <row r="122">
      <c r="A122" s="4" t="n"/>
      <c r="B122" s="4" t="n"/>
      <c r="C122" s="5">
        <f>IF(AND(ISNUMBER(A122),ISNUMBER(B122),ISNUMBER($K$2),ISNUMBER($K$3),$K$3&gt;$K$2),(B122-$K$2)/($K$3-$K$2),"")</f>
        <v/>
      </c>
      <c r="D122" s="5">
        <f>IF(ISNUMBER(C122),IF(B122&lt;$K$3,LN(($K$3-$K$2)/($K$3-B122)),""),"")</f>
        <v/>
      </c>
      <c r="E122" s="5">
        <f>IF(AND(ISNUMBER(C122),ISNUMBER(D122),C122&gt;=0.2,C122&lt;=0.8),D122,"")</f>
        <v/>
      </c>
      <c r="F122" s="5">
        <f>IF(ISNUMBER(E122),A122,"")</f>
        <v/>
      </c>
      <c r="G122" s="5">
        <f>IF(AND(ISNUMBER(E122),ISNUMBER($K$4)),E122-($K$7+$K$4*A122),"")</f>
        <v/>
      </c>
    </row>
    <row r="123">
      <c r="A123" s="4" t="n"/>
      <c r="B123" s="4" t="n"/>
      <c r="C123" s="5">
        <f>IF(AND(ISNUMBER(A123),ISNUMBER(B123),ISNUMBER($K$2),ISNUMBER($K$3),$K$3&gt;$K$2),(B123-$K$2)/($K$3-$K$2),"")</f>
        <v/>
      </c>
      <c r="D123" s="5">
        <f>IF(ISNUMBER(C123),IF(B123&lt;$K$3,LN(($K$3-$K$2)/($K$3-B123)),""),"")</f>
        <v/>
      </c>
      <c r="E123" s="5">
        <f>IF(AND(ISNUMBER(C123),ISNUMBER(D123),C123&gt;=0.2,C123&lt;=0.8),D123,"")</f>
        <v/>
      </c>
      <c r="F123" s="5">
        <f>IF(ISNUMBER(E123),A123,"")</f>
        <v/>
      </c>
      <c r="G123" s="5">
        <f>IF(AND(ISNUMBER(E123),ISNUMBER($K$4)),E123-($K$7+$K$4*A123),"")</f>
        <v/>
      </c>
    </row>
    <row r="124">
      <c r="A124" s="4" t="n"/>
      <c r="B124" s="4" t="n"/>
      <c r="C124" s="5">
        <f>IF(AND(ISNUMBER(A124),ISNUMBER(B124),ISNUMBER($K$2),ISNUMBER($K$3),$K$3&gt;$K$2),(B124-$K$2)/($K$3-$K$2),"")</f>
        <v/>
      </c>
      <c r="D124" s="5">
        <f>IF(ISNUMBER(C124),IF(B124&lt;$K$3,LN(($K$3-$K$2)/($K$3-B124)),""),"")</f>
        <v/>
      </c>
      <c r="E124" s="5">
        <f>IF(AND(ISNUMBER(C124),ISNUMBER(D124),C124&gt;=0.2,C124&lt;=0.8),D124,"")</f>
        <v/>
      </c>
      <c r="F124" s="5">
        <f>IF(ISNUMBER(E124),A124,"")</f>
        <v/>
      </c>
      <c r="G124" s="5">
        <f>IF(AND(ISNUMBER(E124),ISNUMBER($K$4)),E124-($K$7+$K$4*A124),"")</f>
        <v/>
      </c>
    </row>
    <row r="125">
      <c r="A125" s="4" t="n"/>
      <c r="B125" s="4" t="n"/>
      <c r="C125" s="5">
        <f>IF(AND(ISNUMBER(A125),ISNUMBER(B125),ISNUMBER($K$2),ISNUMBER($K$3),$K$3&gt;$K$2),(B125-$K$2)/($K$3-$K$2),"")</f>
        <v/>
      </c>
      <c r="D125" s="5">
        <f>IF(ISNUMBER(C125),IF(B125&lt;$K$3,LN(($K$3-$K$2)/($K$3-B125)),""),"")</f>
        <v/>
      </c>
      <c r="E125" s="5">
        <f>IF(AND(ISNUMBER(C125),ISNUMBER(D125),C125&gt;=0.2,C125&lt;=0.8),D125,"")</f>
        <v/>
      </c>
      <c r="F125" s="5">
        <f>IF(ISNUMBER(E125),A125,"")</f>
        <v/>
      </c>
      <c r="G125" s="5">
        <f>IF(AND(ISNUMBER(E125),ISNUMBER($K$4)),E125-($K$7+$K$4*A125),"")</f>
        <v/>
      </c>
    </row>
    <row r="126">
      <c r="A126" s="4" t="n"/>
      <c r="B126" s="4" t="n"/>
      <c r="C126" s="5">
        <f>IF(AND(ISNUMBER(A126),ISNUMBER(B126),ISNUMBER($K$2),ISNUMBER($K$3),$K$3&gt;$K$2),(B126-$K$2)/($K$3-$K$2),"")</f>
        <v/>
      </c>
      <c r="D126" s="5">
        <f>IF(ISNUMBER(C126),IF(B126&lt;$K$3,LN(($K$3-$K$2)/($K$3-B126)),""),"")</f>
        <v/>
      </c>
      <c r="E126" s="5">
        <f>IF(AND(ISNUMBER(C126),ISNUMBER(D126),C126&gt;=0.2,C126&lt;=0.8),D126,"")</f>
        <v/>
      </c>
      <c r="F126" s="5">
        <f>IF(ISNUMBER(E126),A126,"")</f>
        <v/>
      </c>
      <c r="G126" s="5">
        <f>IF(AND(ISNUMBER(E126),ISNUMBER($K$4)),E126-($K$7+$K$4*A126),"")</f>
        <v/>
      </c>
    </row>
    <row r="127">
      <c r="A127" s="4" t="n"/>
      <c r="B127" s="4" t="n"/>
      <c r="C127" s="5">
        <f>IF(AND(ISNUMBER(A127),ISNUMBER(B127),ISNUMBER($K$2),ISNUMBER($K$3),$K$3&gt;$K$2),(B127-$K$2)/($K$3-$K$2),"")</f>
        <v/>
      </c>
      <c r="D127" s="5">
        <f>IF(ISNUMBER(C127),IF(B127&lt;$K$3,LN(($K$3-$K$2)/($K$3-B127)),""),"")</f>
        <v/>
      </c>
      <c r="E127" s="5">
        <f>IF(AND(ISNUMBER(C127),ISNUMBER(D127),C127&gt;=0.2,C127&lt;=0.8),D127,"")</f>
        <v/>
      </c>
      <c r="F127" s="5">
        <f>IF(ISNUMBER(E127),A127,"")</f>
        <v/>
      </c>
      <c r="G127" s="5">
        <f>IF(AND(ISNUMBER(E127),ISNUMBER($K$4)),E127-($K$7+$K$4*A127),"")</f>
        <v/>
      </c>
    </row>
    <row r="128">
      <c r="A128" s="4" t="n"/>
      <c r="B128" s="4" t="n"/>
      <c r="C128" s="5">
        <f>IF(AND(ISNUMBER(A128),ISNUMBER(B128),ISNUMBER($K$2),ISNUMBER($K$3),$K$3&gt;$K$2),(B128-$K$2)/($K$3-$K$2),"")</f>
        <v/>
      </c>
      <c r="D128" s="5">
        <f>IF(ISNUMBER(C128),IF(B128&lt;$K$3,LN(($K$3-$K$2)/($K$3-B128)),""),"")</f>
        <v/>
      </c>
      <c r="E128" s="5">
        <f>IF(AND(ISNUMBER(C128),ISNUMBER(D128),C128&gt;=0.2,C128&lt;=0.8),D128,"")</f>
        <v/>
      </c>
      <c r="F128" s="5">
        <f>IF(ISNUMBER(E128),A128,"")</f>
        <v/>
      </c>
      <c r="G128" s="5">
        <f>IF(AND(ISNUMBER(E128),ISNUMBER($K$4)),E128-($K$7+$K$4*A128),"")</f>
        <v/>
      </c>
    </row>
    <row r="129">
      <c r="A129" s="4" t="n"/>
      <c r="B129" s="4" t="n"/>
      <c r="C129" s="5">
        <f>IF(AND(ISNUMBER(A129),ISNUMBER(B129),ISNUMBER($K$2),ISNUMBER($K$3),$K$3&gt;$K$2),(B129-$K$2)/($K$3-$K$2),"")</f>
        <v/>
      </c>
      <c r="D129" s="5">
        <f>IF(ISNUMBER(C129),IF(B129&lt;$K$3,LN(($K$3-$K$2)/($K$3-B129)),""),"")</f>
        <v/>
      </c>
      <c r="E129" s="5">
        <f>IF(AND(ISNUMBER(C129),ISNUMBER(D129),C129&gt;=0.2,C129&lt;=0.8),D129,"")</f>
        <v/>
      </c>
      <c r="F129" s="5">
        <f>IF(ISNUMBER(E129),A129,"")</f>
        <v/>
      </c>
      <c r="G129" s="5">
        <f>IF(AND(ISNUMBER(E129),ISNUMBER($K$4)),E129-($K$7+$K$4*A129),"")</f>
        <v/>
      </c>
    </row>
    <row r="130">
      <c r="A130" s="4" t="n"/>
      <c r="B130" s="4" t="n"/>
      <c r="C130" s="5">
        <f>IF(AND(ISNUMBER(A130),ISNUMBER(B130),ISNUMBER($K$2),ISNUMBER($K$3),$K$3&gt;$K$2),(B130-$K$2)/($K$3-$K$2),"")</f>
        <v/>
      </c>
      <c r="D130" s="5">
        <f>IF(ISNUMBER(C130),IF(B130&lt;$K$3,LN(($K$3-$K$2)/($K$3-B130)),""),"")</f>
        <v/>
      </c>
      <c r="E130" s="5">
        <f>IF(AND(ISNUMBER(C130),ISNUMBER(D130),C130&gt;=0.2,C130&lt;=0.8),D130,"")</f>
        <v/>
      </c>
      <c r="F130" s="5">
        <f>IF(ISNUMBER(E130),A130,"")</f>
        <v/>
      </c>
      <c r="G130" s="5">
        <f>IF(AND(ISNUMBER(E130),ISNUMBER($K$4)),E130-($K$7+$K$4*A130),"")</f>
        <v/>
      </c>
    </row>
    <row r="131">
      <c r="A131" s="4" t="n"/>
      <c r="B131" s="4" t="n"/>
      <c r="C131" s="5">
        <f>IF(AND(ISNUMBER(A131),ISNUMBER(B131),ISNUMBER($K$2),ISNUMBER($K$3),$K$3&gt;$K$2),(B131-$K$2)/($K$3-$K$2),"")</f>
        <v/>
      </c>
      <c r="D131" s="5">
        <f>IF(ISNUMBER(C131),IF(B131&lt;$K$3,LN(($K$3-$K$2)/($K$3-B131)),""),"")</f>
        <v/>
      </c>
      <c r="E131" s="5">
        <f>IF(AND(ISNUMBER(C131),ISNUMBER(D131),C131&gt;=0.2,C131&lt;=0.8),D131,"")</f>
        <v/>
      </c>
      <c r="F131" s="5">
        <f>IF(ISNUMBER(E131),A131,"")</f>
        <v/>
      </c>
      <c r="G131" s="5">
        <f>IF(AND(ISNUMBER(E131),ISNUMBER($K$4)),E131-($K$7+$K$4*A131),"")</f>
        <v/>
      </c>
    </row>
    <row r="132">
      <c r="A132" s="4" t="n"/>
      <c r="B132" s="4" t="n"/>
      <c r="C132" s="5">
        <f>IF(AND(ISNUMBER(A132),ISNUMBER(B132),ISNUMBER($K$2),ISNUMBER($K$3),$K$3&gt;$K$2),(B132-$K$2)/($K$3-$K$2),"")</f>
        <v/>
      </c>
      <c r="D132" s="5">
        <f>IF(ISNUMBER(C132),IF(B132&lt;$K$3,LN(($K$3-$K$2)/($K$3-B132)),""),"")</f>
        <v/>
      </c>
      <c r="E132" s="5">
        <f>IF(AND(ISNUMBER(C132),ISNUMBER(D132),C132&gt;=0.2,C132&lt;=0.8),D132,"")</f>
        <v/>
      </c>
      <c r="F132" s="5">
        <f>IF(ISNUMBER(E132),A132,"")</f>
        <v/>
      </c>
      <c r="G132" s="5">
        <f>IF(AND(ISNUMBER(E132),ISNUMBER($K$4)),E132-($K$7+$K$4*A132),"")</f>
        <v/>
      </c>
    </row>
    <row r="133">
      <c r="A133" s="4" t="n"/>
      <c r="B133" s="4" t="n"/>
      <c r="C133" s="5">
        <f>IF(AND(ISNUMBER(A133),ISNUMBER(B133),ISNUMBER($K$2),ISNUMBER($K$3),$K$3&gt;$K$2),(B133-$K$2)/($K$3-$K$2),"")</f>
        <v/>
      </c>
      <c r="D133" s="5">
        <f>IF(ISNUMBER(C133),IF(B133&lt;$K$3,LN(($K$3-$K$2)/($K$3-B133)),""),"")</f>
        <v/>
      </c>
      <c r="E133" s="5">
        <f>IF(AND(ISNUMBER(C133),ISNUMBER(D133),C133&gt;=0.2,C133&lt;=0.8),D133,"")</f>
        <v/>
      </c>
      <c r="F133" s="5">
        <f>IF(ISNUMBER(E133),A133,"")</f>
        <v/>
      </c>
      <c r="G133" s="5">
        <f>IF(AND(ISNUMBER(E133),ISNUMBER($K$4)),E133-($K$7+$K$4*A133),"")</f>
        <v/>
      </c>
    </row>
    <row r="134">
      <c r="A134" s="4" t="n"/>
      <c r="B134" s="4" t="n"/>
      <c r="C134" s="5">
        <f>IF(AND(ISNUMBER(A134),ISNUMBER(B134),ISNUMBER($K$2),ISNUMBER($K$3),$K$3&gt;$K$2),(B134-$K$2)/($K$3-$K$2),"")</f>
        <v/>
      </c>
      <c r="D134" s="5">
        <f>IF(ISNUMBER(C134),IF(B134&lt;$K$3,LN(($K$3-$K$2)/($K$3-B134)),""),"")</f>
        <v/>
      </c>
      <c r="E134" s="5">
        <f>IF(AND(ISNUMBER(C134),ISNUMBER(D134),C134&gt;=0.2,C134&lt;=0.8),D134,"")</f>
        <v/>
      </c>
      <c r="F134" s="5">
        <f>IF(ISNUMBER(E134),A134,"")</f>
        <v/>
      </c>
      <c r="G134" s="5">
        <f>IF(AND(ISNUMBER(E134),ISNUMBER($K$4)),E134-($K$7+$K$4*A134),"")</f>
        <v/>
      </c>
    </row>
    <row r="135">
      <c r="A135" s="4" t="n"/>
      <c r="B135" s="4" t="n"/>
      <c r="C135" s="5">
        <f>IF(AND(ISNUMBER(A135),ISNUMBER(B135),ISNUMBER($K$2),ISNUMBER($K$3),$K$3&gt;$K$2),(B135-$K$2)/($K$3-$K$2),"")</f>
        <v/>
      </c>
      <c r="D135" s="5">
        <f>IF(ISNUMBER(C135),IF(B135&lt;$K$3,LN(($K$3-$K$2)/($K$3-B135)),""),"")</f>
        <v/>
      </c>
      <c r="E135" s="5">
        <f>IF(AND(ISNUMBER(C135),ISNUMBER(D135),C135&gt;=0.2,C135&lt;=0.8),D135,"")</f>
        <v/>
      </c>
      <c r="F135" s="5">
        <f>IF(ISNUMBER(E135),A135,"")</f>
        <v/>
      </c>
      <c r="G135" s="5">
        <f>IF(AND(ISNUMBER(E135),ISNUMBER($K$4)),E135-($K$7+$K$4*A135),"")</f>
        <v/>
      </c>
    </row>
    <row r="136">
      <c r="A136" s="4" t="n"/>
      <c r="B136" s="4" t="n"/>
      <c r="C136" s="5">
        <f>IF(AND(ISNUMBER(A136),ISNUMBER(B136),ISNUMBER($K$2),ISNUMBER($K$3),$K$3&gt;$K$2),(B136-$K$2)/($K$3-$K$2),"")</f>
        <v/>
      </c>
      <c r="D136" s="5">
        <f>IF(ISNUMBER(C136),IF(B136&lt;$K$3,LN(($K$3-$K$2)/($K$3-B136)),""),"")</f>
        <v/>
      </c>
      <c r="E136" s="5">
        <f>IF(AND(ISNUMBER(C136),ISNUMBER(D136),C136&gt;=0.2,C136&lt;=0.8),D136,"")</f>
        <v/>
      </c>
      <c r="F136" s="5">
        <f>IF(ISNUMBER(E136),A136,"")</f>
        <v/>
      </c>
      <c r="G136" s="5">
        <f>IF(AND(ISNUMBER(E136),ISNUMBER($K$4)),E136-($K$7+$K$4*A136),"")</f>
        <v/>
      </c>
    </row>
    <row r="137">
      <c r="A137" s="4" t="n"/>
      <c r="B137" s="4" t="n"/>
      <c r="C137" s="5">
        <f>IF(AND(ISNUMBER(A137),ISNUMBER(B137),ISNUMBER($K$2),ISNUMBER($K$3),$K$3&gt;$K$2),(B137-$K$2)/($K$3-$K$2),"")</f>
        <v/>
      </c>
      <c r="D137" s="5">
        <f>IF(ISNUMBER(C137),IF(B137&lt;$K$3,LN(($K$3-$K$2)/($K$3-B137)),""),"")</f>
        <v/>
      </c>
      <c r="E137" s="5">
        <f>IF(AND(ISNUMBER(C137),ISNUMBER(D137),C137&gt;=0.2,C137&lt;=0.8),D137,"")</f>
        <v/>
      </c>
      <c r="F137" s="5">
        <f>IF(ISNUMBER(E137),A137,"")</f>
        <v/>
      </c>
      <c r="G137" s="5">
        <f>IF(AND(ISNUMBER(E137),ISNUMBER($K$4)),E137-($K$7+$K$4*A137),"")</f>
        <v/>
      </c>
    </row>
    <row r="138">
      <c r="A138" s="4" t="n"/>
      <c r="B138" s="4" t="n"/>
      <c r="C138" s="5">
        <f>IF(AND(ISNUMBER(A138),ISNUMBER(B138),ISNUMBER($K$2),ISNUMBER($K$3),$K$3&gt;$K$2),(B138-$K$2)/($K$3-$K$2),"")</f>
        <v/>
      </c>
      <c r="D138" s="5">
        <f>IF(ISNUMBER(C138),IF(B138&lt;$K$3,LN(($K$3-$K$2)/($K$3-B138)),""),"")</f>
        <v/>
      </c>
      <c r="E138" s="5">
        <f>IF(AND(ISNUMBER(C138),ISNUMBER(D138),C138&gt;=0.2,C138&lt;=0.8),D138,"")</f>
        <v/>
      </c>
      <c r="F138" s="5">
        <f>IF(ISNUMBER(E138),A138,"")</f>
        <v/>
      </c>
      <c r="G138" s="5">
        <f>IF(AND(ISNUMBER(E138),ISNUMBER($K$4)),E138-($K$7+$K$4*A138),"")</f>
        <v/>
      </c>
    </row>
    <row r="139">
      <c r="A139" s="4" t="n"/>
      <c r="B139" s="4" t="n"/>
      <c r="C139" s="5">
        <f>IF(AND(ISNUMBER(A139),ISNUMBER(B139),ISNUMBER($K$2),ISNUMBER($K$3),$K$3&gt;$K$2),(B139-$K$2)/($K$3-$K$2),"")</f>
        <v/>
      </c>
      <c r="D139" s="5">
        <f>IF(ISNUMBER(C139),IF(B139&lt;$K$3,LN(($K$3-$K$2)/($K$3-B139)),""),"")</f>
        <v/>
      </c>
      <c r="E139" s="5">
        <f>IF(AND(ISNUMBER(C139),ISNUMBER(D139),C139&gt;=0.2,C139&lt;=0.8),D139,"")</f>
        <v/>
      </c>
      <c r="F139" s="5">
        <f>IF(ISNUMBER(E139),A139,"")</f>
        <v/>
      </c>
      <c r="G139" s="5">
        <f>IF(AND(ISNUMBER(E139),ISNUMBER($K$4)),E139-($K$7+$K$4*A139),"")</f>
        <v/>
      </c>
    </row>
    <row r="140">
      <c r="A140" s="4" t="n"/>
      <c r="B140" s="4" t="n"/>
      <c r="C140" s="5">
        <f>IF(AND(ISNUMBER(A140),ISNUMBER(B140),ISNUMBER($K$2),ISNUMBER($K$3),$K$3&gt;$K$2),(B140-$K$2)/($K$3-$K$2),"")</f>
        <v/>
      </c>
      <c r="D140" s="5">
        <f>IF(ISNUMBER(C140),IF(B140&lt;$K$3,LN(($K$3-$K$2)/($K$3-B140)),""),"")</f>
        <v/>
      </c>
      <c r="E140" s="5">
        <f>IF(AND(ISNUMBER(C140),ISNUMBER(D140),C140&gt;=0.2,C140&lt;=0.8),D140,"")</f>
        <v/>
      </c>
      <c r="F140" s="5">
        <f>IF(ISNUMBER(E140),A140,"")</f>
        <v/>
      </c>
      <c r="G140" s="5">
        <f>IF(AND(ISNUMBER(E140),ISNUMBER($K$4)),E140-($K$7+$K$4*A140),"")</f>
        <v/>
      </c>
    </row>
    <row r="141">
      <c r="A141" s="4" t="n"/>
      <c r="B141" s="4" t="n"/>
      <c r="C141" s="5">
        <f>IF(AND(ISNUMBER(A141),ISNUMBER(B141),ISNUMBER($K$2),ISNUMBER($K$3),$K$3&gt;$K$2),(B141-$K$2)/($K$3-$K$2),"")</f>
        <v/>
      </c>
      <c r="D141" s="5">
        <f>IF(ISNUMBER(C141),IF(B141&lt;$K$3,LN(($K$3-$K$2)/($K$3-B141)),""),"")</f>
        <v/>
      </c>
      <c r="E141" s="5">
        <f>IF(AND(ISNUMBER(C141),ISNUMBER(D141),C141&gt;=0.2,C141&lt;=0.8),D141,"")</f>
        <v/>
      </c>
      <c r="F141" s="5">
        <f>IF(ISNUMBER(E141),A141,"")</f>
        <v/>
      </c>
      <c r="G141" s="5">
        <f>IF(AND(ISNUMBER(E141),ISNUMBER($K$4)),E141-($K$7+$K$4*A141),"")</f>
        <v/>
      </c>
    </row>
    <row r="142">
      <c r="A142" s="4" t="n"/>
      <c r="B142" s="4" t="n"/>
      <c r="C142" s="5">
        <f>IF(AND(ISNUMBER(A142),ISNUMBER(B142),ISNUMBER($K$2),ISNUMBER($K$3),$K$3&gt;$K$2),(B142-$K$2)/($K$3-$K$2),"")</f>
        <v/>
      </c>
      <c r="D142" s="5">
        <f>IF(ISNUMBER(C142),IF(B142&lt;$K$3,LN(($K$3-$K$2)/($K$3-B142)),""),"")</f>
        <v/>
      </c>
      <c r="E142" s="5">
        <f>IF(AND(ISNUMBER(C142),ISNUMBER(D142),C142&gt;=0.2,C142&lt;=0.8),D142,"")</f>
        <v/>
      </c>
      <c r="F142" s="5">
        <f>IF(ISNUMBER(E142),A142,"")</f>
        <v/>
      </c>
      <c r="G142" s="5">
        <f>IF(AND(ISNUMBER(E142),ISNUMBER($K$4)),E142-($K$7+$K$4*A142),"")</f>
        <v/>
      </c>
    </row>
    <row r="143">
      <c r="A143" s="4" t="n"/>
      <c r="B143" s="4" t="n"/>
      <c r="C143" s="5">
        <f>IF(AND(ISNUMBER(A143),ISNUMBER(B143),ISNUMBER($K$2),ISNUMBER($K$3),$K$3&gt;$K$2),(B143-$K$2)/($K$3-$K$2),"")</f>
        <v/>
      </c>
      <c r="D143" s="5">
        <f>IF(ISNUMBER(C143),IF(B143&lt;$K$3,LN(($K$3-$K$2)/($K$3-B143)),""),"")</f>
        <v/>
      </c>
      <c r="E143" s="5">
        <f>IF(AND(ISNUMBER(C143),ISNUMBER(D143),C143&gt;=0.2,C143&lt;=0.8),D143,"")</f>
        <v/>
      </c>
      <c r="F143" s="5">
        <f>IF(ISNUMBER(E143),A143,"")</f>
        <v/>
      </c>
      <c r="G143" s="5">
        <f>IF(AND(ISNUMBER(E143),ISNUMBER($K$4)),E143-($K$7+$K$4*A143),"")</f>
        <v/>
      </c>
    </row>
    <row r="144">
      <c r="A144" s="4" t="n"/>
      <c r="B144" s="4" t="n"/>
      <c r="C144" s="5">
        <f>IF(AND(ISNUMBER(A144),ISNUMBER(B144),ISNUMBER($K$2),ISNUMBER($K$3),$K$3&gt;$K$2),(B144-$K$2)/($K$3-$K$2),"")</f>
        <v/>
      </c>
      <c r="D144" s="5">
        <f>IF(ISNUMBER(C144),IF(B144&lt;$K$3,LN(($K$3-$K$2)/($K$3-B144)),""),"")</f>
        <v/>
      </c>
      <c r="E144" s="5">
        <f>IF(AND(ISNUMBER(C144),ISNUMBER(D144),C144&gt;=0.2,C144&lt;=0.8),D144,"")</f>
        <v/>
      </c>
      <c r="F144" s="5">
        <f>IF(ISNUMBER(E144),A144,"")</f>
        <v/>
      </c>
      <c r="G144" s="5">
        <f>IF(AND(ISNUMBER(E144),ISNUMBER($K$4)),E144-($K$7+$K$4*A144),"")</f>
        <v/>
      </c>
    </row>
    <row r="145">
      <c r="A145" s="4" t="n"/>
      <c r="B145" s="4" t="n"/>
      <c r="C145" s="5">
        <f>IF(AND(ISNUMBER(A145),ISNUMBER(B145),ISNUMBER($K$2),ISNUMBER($K$3),$K$3&gt;$K$2),(B145-$K$2)/($K$3-$K$2),"")</f>
        <v/>
      </c>
      <c r="D145" s="5">
        <f>IF(ISNUMBER(C145),IF(B145&lt;$K$3,LN(($K$3-$K$2)/($K$3-B145)),""),"")</f>
        <v/>
      </c>
      <c r="E145" s="5">
        <f>IF(AND(ISNUMBER(C145),ISNUMBER(D145),C145&gt;=0.2,C145&lt;=0.8),D145,"")</f>
        <v/>
      </c>
      <c r="F145" s="5">
        <f>IF(ISNUMBER(E145),A145,"")</f>
        <v/>
      </c>
      <c r="G145" s="5">
        <f>IF(AND(ISNUMBER(E145),ISNUMBER($K$4)),E145-($K$7+$K$4*A145),"")</f>
        <v/>
      </c>
    </row>
    <row r="146">
      <c r="A146" s="4" t="n"/>
      <c r="B146" s="4" t="n"/>
      <c r="C146" s="5">
        <f>IF(AND(ISNUMBER(A146),ISNUMBER(B146),ISNUMBER($K$2),ISNUMBER($K$3),$K$3&gt;$K$2),(B146-$K$2)/($K$3-$K$2),"")</f>
        <v/>
      </c>
      <c r="D146" s="5">
        <f>IF(ISNUMBER(C146),IF(B146&lt;$K$3,LN(($K$3-$K$2)/($K$3-B146)),""),"")</f>
        <v/>
      </c>
      <c r="E146" s="5">
        <f>IF(AND(ISNUMBER(C146),ISNUMBER(D146),C146&gt;=0.2,C146&lt;=0.8),D146,"")</f>
        <v/>
      </c>
      <c r="F146" s="5">
        <f>IF(ISNUMBER(E146),A146,"")</f>
        <v/>
      </c>
      <c r="G146" s="5">
        <f>IF(AND(ISNUMBER(E146),ISNUMBER($K$4)),E146-($K$7+$K$4*A146),"")</f>
        <v/>
      </c>
    </row>
    <row r="147">
      <c r="A147" s="4" t="n"/>
      <c r="B147" s="4" t="n"/>
      <c r="C147" s="5">
        <f>IF(AND(ISNUMBER(A147),ISNUMBER(B147),ISNUMBER($K$2),ISNUMBER($K$3),$K$3&gt;$K$2),(B147-$K$2)/($K$3-$K$2),"")</f>
        <v/>
      </c>
      <c r="D147" s="5">
        <f>IF(ISNUMBER(C147),IF(B147&lt;$K$3,LN(($K$3-$K$2)/($K$3-B147)),""),"")</f>
        <v/>
      </c>
      <c r="E147" s="5">
        <f>IF(AND(ISNUMBER(C147),ISNUMBER(D147),C147&gt;=0.2,C147&lt;=0.8),D147,"")</f>
        <v/>
      </c>
      <c r="F147" s="5">
        <f>IF(ISNUMBER(E147),A147,"")</f>
        <v/>
      </c>
      <c r="G147" s="5">
        <f>IF(AND(ISNUMBER(E147),ISNUMBER($K$4)),E147-($K$7+$K$4*A147),"")</f>
        <v/>
      </c>
    </row>
    <row r="148">
      <c r="A148" s="4" t="n"/>
      <c r="B148" s="4" t="n"/>
      <c r="C148" s="5">
        <f>IF(AND(ISNUMBER(A148),ISNUMBER(B148),ISNUMBER($K$2),ISNUMBER($K$3),$K$3&gt;$K$2),(B148-$K$2)/($K$3-$K$2),"")</f>
        <v/>
      </c>
      <c r="D148" s="5">
        <f>IF(ISNUMBER(C148),IF(B148&lt;$K$3,LN(($K$3-$K$2)/($K$3-B148)),""),"")</f>
        <v/>
      </c>
      <c r="E148" s="5">
        <f>IF(AND(ISNUMBER(C148),ISNUMBER(D148),C148&gt;=0.2,C148&lt;=0.8),D148,"")</f>
        <v/>
      </c>
      <c r="F148" s="5">
        <f>IF(ISNUMBER(E148),A148,"")</f>
        <v/>
      </c>
      <c r="G148" s="5">
        <f>IF(AND(ISNUMBER(E148),ISNUMBER($K$4)),E148-($K$7+$K$4*A148),"")</f>
        <v/>
      </c>
    </row>
    <row r="149">
      <c r="A149" s="4" t="n"/>
      <c r="B149" s="4" t="n"/>
      <c r="C149" s="5">
        <f>IF(AND(ISNUMBER(A149),ISNUMBER(B149),ISNUMBER($K$2),ISNUMBER($K$3),$K$3&gt;$K$2),(B149-$K$2)/($K$3-$K$2),"")</f>
        <v/>
      </c>
      <c r="D149" s="5">
        <f>IF(ISNUMBER(C149),IF(B149&lt;$K$3,LN(($K$3-$K$2)/($K$3-B149)),""),"")</f>
        <v/>
      </c>
      <c r="E149" s="5">
        <f>IF(AND(ISNUMBER(C149),ISNUMBER(D149),C149&gt;=0.2,C149&lt;=0.8),D149,"")</f>
        <v/>
      </c>
      <c r="F149" s="5">
        <f>IF(ISNUMBER(E149),A149,"")</f>
        <v/>
      </c>
      <c r="G149" s="5">
        <f>IF(AND(ISNUMBER(E149),ISNUMBER($K$4)),E149-($K$7+$K$4*A149),"")</f>
        <v/>
      </c>
    </row>
    <row r="150">
      <c r="A150" s="4" t="n"/>
      <c r="B150" s="4" t="n"/>
      <c r="C150" s="5">
        <f>IF(AND(ISNUMBER(A150),ISNUMBER(B150),ISNUMBER($K$2),ISNUMBER($K$3),$K$3&gt;$K$2),(B150-$K$2)/($K$3-$K$2),"")</f>
        <v/>
      </c>
      <c r="D150" s="5">
        <f>IF(ISNUMBER(C150),IF(B150&lt;$K$3,LN(($K$3-$K$2)/($K$3-B150)),""),"")</f>
        <v/>
      </c>
      <c r="E150" s="5">
        <f>IF(AND(ISNUMBER(C150),ISNUMBER(D150),C150&gt;=0.2,C150&lt;=0.8),D150,"")</f>
        <v/>
      </c>
      <c r="F150" s="5">
        <f>IF(ISNUMBER(E150),A150,"")</f>
        <v/>
      </c>
      <c r="G150" s="5">
        <f>IF(AND(ISNUMBER(E150),ISNUMBER($K$4)),E150-($K$7+$K$4*A150),"")</f>
        <v/>
      </c>
    </row>
    <row r="151">
      <c r="A151" s="4" t="n"/>
      <c r="B151" s="4" t="n"/>
      <c r="C151" s="5">
        <f>IF(AND(ISNUMBER(A151),ISNUMBER(B151),ISNUMBER($K$2),ISNUMBER($K$3),$K$3&gt;$K$2),(B151-$K$2)/($K$3-$K$2),"")</f>
        <v/>
      </c>
      <c r="D151" s="5">
        <f>IF(ISNUMBER(C151),IF(B151&lt;$K$3,LN(($K$3-$K$2)/($K$3-B151)),""),"")</f>
        <v/>
      </c>
      <c r="E151" s="5">
        <f>IF(AND(ISNUMBER(C151),ISNUMBER(D151),C151&gt;=0.2,C151&lt;=0.8),D151,"")</f>
        <v/>
      </c>
      <c r="F151" s="5">
        <f>IF(ISNUMBER(E151),A151,"")</f>
        <v/>
      </c>
      <c r="G151" s="5">
        <f>IF(AND(ISNUMBER(E151),ISNUMBER($K$4)),E151-($K$7+$K$4*A151),"")</f>
        <v/>
      </c>
    </row>
    <row r="152">
      <c r="A152" s="4" t="n"/>
      <c r="B152" s="4" t="n"/>
      <c r="C152" s="5">
        <f>IF(AND(ISNUMBER(A152),ISNUMBER(B152),ISNUMBER($K$2),ISNUMBER($K$3),$K$3&gt;$K$2),(B152-$K$2)/($K$3-$K$2),"")</f>
        <v/>
      </c>
      <c r="D152" s="5">
        <f>IF(ISNUMBER(C152),IF(B152&lt;$K$3,LN(($K$3-$K$2)/($K$3-B152)),""),"")</f>
        <v/>
      </c>
      <c r="E152" s="5">
        <f>IF(AND(ISNUMBER(C152),ISNUMBER(D152),C152&gt;=0.2,C152&lt;=0.8),D152,"")</f>
        <v/>
      </c>
      <c r="F152" s="5">
        <f>IF(ISNUMBER(E152),A152,"")</f>
        <v/>
      </c>
      <c r="G152" s="5">
        <f>IF(AND(ISNUMBER(E152),ISNUMBER($K$4)),E152-($K$7+$K$4*A152),"")</f>
        <v/>
      </c>
    </row>
    <row r="153">
      <c r="A153" s="4" t="n"/>
      <c r="B153" s="4" t="n"/>
      <c r="C153" s="5">
        <f>IF(AND(ISNUMBER(A153),ISNUMBER(B153),ISNUMBER($K$2),ISNUMBER($K$3),$K$3&gt;$K$2),(B153-$K$2)/($K$3-$K$2),"")</f>
        <v/>
      </c>
      <c r="D153" s="5">
        <f>IF(ISNUMBER(C153),IF(B153&lt;$K$3,LN(($K$3-$K$2)/($K$3-B153)),""),"")</f>
        <v/>
      </c>
      <c r="E153" s="5">
        <f>IF(AND(ISNUMBER(C153),ISNUMBER(D153),C153&gt;=0.2,C153&lt;=0.8),D153,"")</f>
        <v/>
      </c>
      <c r="F153" s="5">
        <f>IF(ISNUMBER(E153),A153,"")</f>
        <v/>
      </c>
      <c r="G153" s="5">
        <f>IF(AND(ISNUMBER(E153),ISNUMBER($K$4)),E153-($K$7+$K$4*A153),"")</f>
        <v/>
      </c>
    </row>
    <row r="154">
      <c r="A154" s="4" t="n"/>
      <c r="B154" s="4" t="n"/>
      <c r="C154" s="5">
        <f>IF(AND(ISNUMBER(A154),ISNUMBER(B154),ISNUMBER($K$2),ISNUMBER($K$3),$K$3&gt;$K$2),(B154-$K$2)/($K$3-$K$2),"")</f>
        <v/>
      </c>
      <c r="D154" s="5">
        <f>IF(ISNUMBER(C154),IF(B154&lt;$K$3,LN(($K$3-$K$2)/($K$3-B154)),""),"")</f>
        <v/>
      </c>
      <c r="E154" s="5">
        <f>IF(AND(ISNUMBER(C154),ISNUMBER(D154),C154&gt;=0.2,C154&lt;=0.8),D154,"")</f>
        <v/>
      </c>
      <c r="F154" s="5">
        <f>IF(ISNUMBER(E154),A154,"")</f>
        <v/>
      </c>
      <c r="G154" s="5">
        <f>IF(AND(ISNUMBER(E154),ISNUMBER($K$4)),E154-($K$7+$K$4*A154),"")</f>
        <v/>
      </c>
    </row>
    <row r="155">
      <c r="A155" s="4" t="n"/>
      <c r="B155" s="4" t="n"/>
      <c r="C155" s="5">
        <f>IF(AND(ISNUMBER(A155),ISNUMBER(B155),ISNUMBER($K$2),ISNUMBER($K$3),$K$3&gt;$K$2),(B155-$K$2)/($K$3-$K$2),"")</f>
        <v/>
      </c>
      <c r="D155" s="5">
        <f>IF(ISNUMBER(C155),IF(B155&lt;$K$3,LN(($K$3-$K$2)/($K$3-B155)),""),"")</f>
        <v/>
      </c>
      <c r="E155" s="5">
        <f>IF(AND(ISNUMBER(C155),ISNUMBER(D155),C155&gt;=0.2,C155&lt;=0.8),D155,"")</f>
        <v/>
      </c>
      <c r="F155" s="5">
        <f>IF(ISNUMBER(E155),A155,"")</f>
        <v/>
      </c>
      <c r="G155" s="5">
        <f>IF(AND(ISNUMBER(E155),ISNUMBER($K$4)),E155-($K$7+$K$4*A155),"")</f>
        <v/>
      </c>
    </row>
    <row r="156">
      <c r="A156" s="4" t="n"/>
      <c r="B156" s="4" t="n"/>
      <c r="C156" s="5">
        <f>IF(AND(ISNUMBER(A156),ISNUMBER(B156),ISNUMBER($K$2),ISNUMBER($K$3),$K$3&gt;$K$2),(B156-$K$2)/($K$3-$K$2),"")</f>
        <v/>
      </c>
      <c r="D156" s="5">
        <f>IF(ISNUMBER(C156),IF(B156&lt;$K$3,LN(($K$3-$K$2)/($K$3-B156)),""),"")</f>
        <v/>
      </c>
      <c r="E156" s="5">
        <f>IF(AND(ISNUMBER(C156),ISNUMBER(D156),C156&gt;=0.2,C156&lt;=0.8),D156,"")</f>
        <v/>
      </c>
      <c r="F156" s="5">
        <f>IF(ISNUMBER(E156),A156,"")</f>
        <v/>
      </c>
      <c r="G156" s="5">
        <f>IF(AND(ISNUMBER(E156),ISNUMBER($K$4)),E156-($K$7+$K$4*A156),"")</f>
        <v/>
      </c>
    </row>
    <row r="157">
      <c r="A157" s="4" t="n"/>
      <c r="B157" s="4" t="n"/>
      <c r="C157" s="5">
        <f>IF(AND(ISNUMBER(A157),ISNUMBER(B157),ISNUMBER($K$2),ISNUMBER($K$3),$K$3&gt;$K$2),(B157-$K$2)/($K$3-$K$2),"")</f>
        <v/>
      </c>
      <c r="D157" s="5">
        <f>IF(ISNUMBER(C157),IF(B157&lt;$K$3,LN(($K$3-$K$2)/($K$3-B157)),""),"")</f>
        <v/>
      </c>
      <c r="E157" s="5">
        <f>IF(AND(ISNUMBER(C157),ISNUMBER(D157),C157&gt;=0.2,C157&lt;=0.8),D157,"")</f>
        <v/>
      </c>
      <c r="F157" s="5">
        <f>IF(ISNUMBER(E157),A157,"")</f>
        <v/>
      </c>
      <c r="G157" s="5">
        <f>IF(AND(ISNUMBER(E157),ISNUMBER($K$4)),E157-($K$7+$K$4*A157),"")</f>
        <v/>
      </c>
    </row>
    <row r="158">
      <c r="A158" s="4" t="n"/>
      <c r="B158" s="4" t="n"/>
      <c r="C158" s="5">
        <f>IF(AND(ISNUMBER(A158),ISNUMBER(B158),ISNUMBER($K$2),ISNUMBER($K$3),$K$3&gt;$K$2),(B158-$K$2)/($K$3-$K$2),"")</f>
        <v/>
      </c>
      <c r="D158" s="5">
        <f>IF(ISNUMBER(C158),IF(B158&lt;$K$3,LN(($K$3-$K$2)/($K$3-B158)),""),"")</f>
        <v/>
      </c>
      <c r="E158" s="5">
        <f>IF(AND(ISNUMBER(C158),ISNUMBER(D158),C158&gt;=0.2,C158&lt;=0.8),D158,"")</f>
        <v/>
      </c>
      <c r="F158" s="5">
        <f>IF(ISNUMBER(E158),A158,"")</f>
        <v/>
      </c>
      <c r="G158" s="5">
        <f>IF(AND(ISNUMBER(E158),ISNUMBER($K$4)),E158-($K$7+$K$4*A158),"")</f>
        <v/>
      </c>
    </row>
    <row r="159">
      <c r="A159" s="4" t="n"/>
      <c r="B159" s="4" t="n"/>
      <c r="C159" s="5">
        <f>IF(AND(ISNUMBER(A159),ISNUMBER(B159),ISNUMBER($K$2),ISNUMBER($K$3),$K$3&gt;$K$2),(B159-$K$2)/($K$3-$K$2),"")</f>
        <v/>
      </c>
      <c r="D159" s="5">
        <f>IF(ISNUMBER(C159),IF(B159&lt;$K$3,LN(($K$3-$K$2)/($K$3-B159)),""),"")</f>
        <v/>
      </c>
      <c r="E159" s="5">
        <f>IF(AND(ISNUMBER(C159),ISNUMBER(D159),C159&gt;=0.2,C159&lt;=0.8),D159,"")</f>
        <v/>
      </c>
      <c r="F159" s="5">
        <f>IF(ISNUMBER(E159),A159,"")</f>
        <v/>
      </c>
      <c r="G159" s="5">
        <f>IF(AND(ISNUMBER(E159),ISNUMBER($K$4)),E159-($K$7+$K$4*A159),"")</f>
        <v/>
      </c>
    </row>
    <row r="160">
      <c r="A160" s="4" t="n"/>
      <c r="B160" s="4" t="n"/>
      <c r="C160" s="5">
        <f>IF(AND(ISNUMBER(A160),ISNUMBER(B160),ISNUMBER($K$2),ISNUMBER($K$3),$K$3&gt;$K$2),(B160-$K$2)/($K$3-$K$2),"")</f>
        <v/>
      </c>
      <c r="D160" s="5">
        <f>IF(ISNUMBER(C160),IF(B160&lt;$K$3,LN(($K$3-$K$2)/($K$3-B160)),""),"")</f>
        <v/>
      </c>
      <c r="E160" s="5">
        <f>IF(AND(ISNUMBER(C160),ISNUMBER(D160),C160&gt;=0.2,C160&lt;=0.8),D160,"")</f>
        <v/>
      </c>
      <c r="F160" s="5">
        <f>IF(ISNUMBER(E160),A160,"")</f>
        <v/>
      </c>
      <c r="G160" s="5">
        <f>IF(AND(ISNUMBER(E160),ISNUMBER($K$4)),E160-($K$7+$K$4*A160),"")</f>
        <v/>
      </c>
    </row>
    <row r="161">
      <c r="A161" s="4" t="n"/>
      <c r="B161" s="4" t="n"/>
      <c r="C161" s="5">
        <f>IF(AND(ISNUMBER(A161),ISNUMBER(B161),ISNUMBER($K$2),ISNUMBER($K$3),$K$3&gt;$K$2),(B161-$K$2)/($K$3-$K$2),"")</f>
        <v/>
      </c>
      <c r="D161" s="5">
        <f>IF(ISNUMBER(C161),IF(B161&lt;$K$3,LN(($K$3-$K$2)/($K$3-B161)),""),"")</f>
        <v/>
      </c>
      <c r="E161" s="5">
        <f>IF(AND(ISNUMBER(C161),ISNUMBER(D161),C161&gt;=0.2,C161&lt;=0.8),D161,"")</f>
        <v/>
      </c>
      <c r="F161" s="5">
        <f>IF(ISNUMBER(E161),A161,"")</f>
        <v/>
      </c>
      <c r="G161" s="5">
        <f>IF(AND(ISNUMBER(E161),ISNUMBER($K$4)),E161-($K$7+$K$4*A161),"")</f>
        <v/>
      </c>
    </row>
    <row r="162">
      <c r="A162" s="4" t="n"/>
      <c r="B162" s="4" t="n"/>
      <c r="C162" s="5">
        <f>IF(AND(ISNUMBER(A162),ISNUMBER(B162),ISNUMBER($K$2),ISNUMBER($K$3),$K$3&gt;$K$2),(B162-$K$2)/($K$3-$K$2),"")</f>
        <v/>
      </c>
      <c r="D162" s="5">
        <f>IF(ISNUMBER(C162),IF(B162&lt;$K$3,LN(($K$3-$K$2)/($K$3-B162)),""),"")</f>
        <v/>
      </c>
      <c r="E162" s="5">
        <f>IF(AND(ISNUMBER(C162),ISNUMBER(D162),C162&gt;=0.2,C162&lt;=0.8),D162,"")</f>
        <v/>
      </c>
      <c r="F162" s="5">
        <f>IF(ISNUMBER(E162),A162,"")</f>
        <v/>
      </c>
      <c r="G162" s="5">
        <f>IF(AND(ISNUMBER(E162),ISNUMBER($K$4)),E162-($K$7+$K$4*A162),"")</f>
        <v/>
      </c>
    </row>
    <row r="163">
      <c r="A163" s="4" t="n"/>
      <c r="B163" s="4" t="n"/>
      <c r="C163" s="5">
        <f>IF(AND(ISNUMBER(A163),ISNUMBER(B163),ISNUMBER($K$2),ISNUMBER($K$3),$K$3&gt;$K$2),(B163-$K$2)/($K$3-$K$2),"")</f>
        <v/>
      </c>
      <c r="D163" s="5">
        <f>IF(ISNUMBER(C163),IF(B163&lt;$K$3,LN(($K$3-$K$2)/($K$3-B163)),""),"")</f>
        <v/>
      </c>
      <c r="E163" s="5">
        <f>IF(AND(ISNUMBER(C163),ISNUMBER(D163),C163&gt;=0.2,C163&lt;=0.8),D163,"")</f>
        <v/>
      </c>
      <c r="F163" s="5">
        <f>IF(ISNUMBER(E163),A163,"")</f>
        <v/>
      </c>
      <c r="G163" s="5">
        <f>IF(AND(ISNUMBER(E163),ISNUMBER($K$4)),E163-($K$7+$K$4*A163),"")</f>
        <v/>
      </c>
    </row>
    <row r="164">
      <c r="A164" s="4" t="n"/>
      <c r="B164" s="4" t="n"/>
      <c r="C164" s="5">
        <f>IF(AND(ISNUMBER(A164),ISNUMBER(B164),ISNUMBER($K$2),ISNUMBER($K$3),$K$3&gt;$K$2),(B164-$K$2)/($K$3-$K$2),"")</f>
        <v/>
      </c>
      <c r="D164" s="5">
        <f>IF(ISNUMBER(C164),IF(B164&lt;$K$3,LN(($K$3-$K$2)/($K$3-B164)),""),"")</f>
        <v/>
      </c>
      <c r="E164" s="5">
        <f>IF(AND(ISNUMBER(C164),ISNUMBER(D164),C164&gt;=0.2,C164&lt;=0.8),D164,"")</f>
        <v/>
      </c>
      <c r="F164" s="5">
        <f>IF(ISNUMBER(E164),A164,"")</f>
        <v/>
      </c>
      <c r="G164" s="5">
        <f>IF(AND(ISNUMBER(E164),ISNUMBER($K$4)),E164-($K$7+$K$4*A164),"")</f>
        <v/>
      </c>
    </row>
    <row r="165">
      <c r="A165" s="4" t="n"/>
      <c r="B165" s="4" t="n"/>
      <c r="C165" s="5">
        <f>IF(AND(ISNUMBER(A165),ISNUMBER(B165),ISNUMBER($K$2),ISNUMBER($K$3),$K$3&gt;$K$2),(B165-$K$2)/($K$3-$K$2),"")</f>
        <v/>
      </c>
      <c r="D165" s="5">
        <f>IF(ISNUMBER(C165),IF(B165&lt;$K$3,LN(($K$3-$K$2)/($K$3-B165)),""),"")</f>
        <v/>
      </c>
      <c r="E165" s="5">
        <f>IF(AND(ISNUMBER(C165),ISNUMBER(D165),C165&gt;=0.2,C165&lt;=0.8),D165,"")</f>
        <v/>
      </c>
      <c r="F165" s="5">
        <f>IF(ISNUMBER(E165),A165,"")</f>
        <v/>
      </c>
      <c r="G165" s="5">
        <f>IF(AND(ISNUMBER(E165),ISNUMBER($K$4)),E165-($K$7+$K$4*A165),"")</f>
        <v/>
      </c>
    </row>
    <row r="166">
      <c r="A166" s="4" t="n"/>
      <c r="B166" s="4" t="n"/>
      <c r="C166" s="5">
        <f>IF(AND(ISNUMBER(A166),ISNUMBER(B166),ISNUMBER($K$2),ISNUMBER($K$3),$K$3&gt;$K$2),(B166-$K$2)/($K$3-$K$2),"")</f>
        <v/>
      </c>
      <c r="D166" s="5">
        <f>IF(ISNUMBER(C166),IF(B166&lt;$K$3,LN(($K$3-$K$2)/($K$3-B166)),""),"")</f>
        <v/>
      </c>
      <c r="E166" s="5">
        <f>IF(AND(ISNUMBER(C166),ISNUMBER(D166),C166&gt;=0.2,C166&lt;=0.8),D166,"")</f>
        <v/>
      </c>
      <c r="F166" s="5">
        <f>IF(ISNUMBER(E166),A166,"")</f>
        <v/>
      </c>
      <c r="G166" s="5">
        <f>IF(AND(ISNUMBER(E166),ISNUMBER($K$4)),E166-($K$7+$K$4*A166),"")</f>
        <v/>
      </c>
    </row>
    <row r="167">
      <c r="A167" s="4" t="n"/>
      <c r="B167" s="4" t="n"/>
      <c r="C167" s="5">
        <f>IF(AND(ISNUMBER(A167),ISNUMBER(B167),ISNUMBER($K$2),ISNUMBER($K$3),$K$3&gt;$K$2),(B167-$K$2)/($K$3-$K$2),"")</f>
        <v/>
      </c>
      <c r="D167" s="5">
        <f>IF(ISNUMBER(C167),IF(B167&lt;$K$3,LN(($K$3-$K$2)/($K$3-B167)),""),"")</f>
        <v/>
      </c>
      <c r="E167" s="5">
        <f>IF(AND(ISNUMBER(C167),ISNUMBER(D167),C167&gt;=0.2,C167&lt;=0.8),D167,"")</f>
        <v/>
      </c>
      <c r="F167" s="5">
        <f>IF(ISNUMBER(E167),A167,"")</f>
        <v/>
      </c>
      <c r="G167" s="5">
        <f>IF(AND(ISNUMBER(E167),ISNUMBER($K$4)),E167-($K$7+$K$4*A167),"")</f>
        <v/>
      </c>
    </row>
    <row r="168">
      <c r="A168" s="4" t="n"/>
      <c r="B168" s="4" t="n"/>
      <c r="C168" s="5">
        <f>IF(AND(ISNUMBER(A168),ISNUMBER(B168),ISNUMBER($K$2),ISNUMBER($K$3),$K$3&gt;$K$2),(B168-$K$2)/($K$3-$K$2),"")</f>
        <v/>
      </c>
      <c r="D168" s="5">
        <f>IF(ISNUMBER(C168),IF(B168&lt;$K$3,LN(($K$3-$K$2)/($K$3-B168)),""),"")</f>
        <v/>
      </c>
      <c r="E168" s="5">
        <f>IF(AND(ISNUMBER(C168),ISNUMBER(D168),C168&gt;=0.2,C168&lt;=0.8),D168,"")</f>
        <v/>
      </c>
      <c r="F168" s="5">
        <f>IF(ISNUMBER(E168),A168,"")</f>
        <v/>
      </c>
      <c r="G168" s="5">
        <f>IF(AND(ISNUMBER(E168),ISNUMBER($K$4)),E168-($K$7+$K$4*A168),"")</f>
        <v/>
      </c>
    </row>
    <row r="169">
      <c r="A169" s="4" t="n"/>
      <c r="B169" s="4" t="n"/>
      <c r="C169" s="5">
        <f>IF(AND(ISNUMBER(A169),ISNUMBER(B169),ISNUMBER($K$2),ISNUMBER($K$3),$K$3&gt;$K$2),(B169-$K$2)/($K$3-$K$2),"")</f>
        <v/>
      </c>
      <c r="D169" s="5">
        <f>IF(ISNUMBER(C169),IF(B169&lt;$K$3,LN(($K$3-$K$2)/($K$3-B169)),""),"")</f>
        <v/>
      </c>
      <c r="E169" s="5">
        <f>IF(AND(ISNUMBER(C169),ISNUMBER(D169),C169&gt;=0.2,C169&lt;=0.8),D169,"")</f>
        <v/>
      </c>
      <c r="F169" s="5">
        <f>IF(ISNUMBER(E169),A169,"")</f>
        <v/>
      </c>
      <c r="G169" s="5">
        <f>IF(AND(ISNUMBER(E169),ISNUMBER($K$4)),E169-($K$7+$K$4*A169),"")</f>
        <v/>
      </c>
    </row>
    <row r="170">
      <c r="A170" s="4" t="n"/>
      <c r="B170" s="4" t="n"/>
      <c r="C170" s="5">
        <f>IF(AND(ISNUMBER(A170),ISNUMBER(B170),ISNUMBER($K$2),ISNUMBER($K$3),$K$3&gt;$K$2),(B170-$K$2)/($K$3-$K$2),"")</f>
        <v/>
      </c>
      <c r="D170" s="5">
        <f>IF(ISNUMBER(C170),IF(B170&lt;$K$3,LN(($K$3-$K$2)/($K$3-B170)),""),"")</f>
        <v/>
      </c>
      <c r="E170" s="5">
        <f>IF(AND(ISNUMBER(C170),ISNUMBER(D170),C170&gt;=0.2,C170&lt;=0.8),D170,"")</f>
        <v/>
      </c>
      <c r="F170" s="5">
        <f>IF(ISNUMBER(E170),A170,"")</f>
        <v/>
      </c>
      <c r="G170" s="5">
        <f>IF(AND(ISNUMBER(E170),ISNUMBER($K$4)),E170-($K$7+$K$4*A170),"")</f>
        <v/>
      </c>
    </row>
    <row r="171">
      <c r="A171" s="4" t="n"/>
      <c r="B171" s="4" t="n"/>
      <c r="C171" s="5">
        <f>IF(AND(ISNUMBER(A171),ISNUMBER(B171),ISNUMBER($K$2),ISNUMBER($K$3),$K$3&gt;$K$2),(B171-$K$2)/($K$3-$K$2),"")</f>
        <v/>
      </c>
      <c r="D171" s="5">
        <f>IF(ISNUMBER(C171),IF(B171&lt;$K$3,LN(($K$3-$K$2)/($K$3-B171)),""),"")</f>
        <v/>
      </c>
      <c r="E171" s="5">
        <f>IF(AND(ISNUMBER(C171),ISNUMBER(D171),C171&gt;=0.2,C171&lt;=0.8),D171,"")</f>
        <v/>
      </c>
      <c r="F171" s="5">
        <f>IF(ISNUMBER(E171),A171,"")</f>
        <v/>
      </c>
      <c r="G171" s="5">
        <f>IF(AND(ISNUMBER(E171),ISNUMBER($K$4)),E171-($K$7+$K$4*A171),"")</f>
        <v/>
      </c>
    </row>
    <row r="172">
      <c r="A172" s="4" t="n"/>
      <c r="B172" s="4" t="n"/>
      <c r="C172" s="5">
        <f>IF(AND(ISNUMBER(A172),ISNUMBER(B172),ISNUMBER($K$2),ISNUMBER($K$3),$K$3&gt;$K$2),(B172-$K$2)/($K$3-$K$2),"")</f>
        <v/>
      </c>
      <c r="D172" s="5">
        <f>IF(ISNUMBER(C172),IF(B172&lt;$K$3,LN(($K$3-$K$2)/($K$3-B172)),""),"")</f>
        <v/>
      </c>
      <c r="E172" s="5">
        <f>IF(AND(ISNUMBER(C172),ISNUMBER(D172),C172&gt;=0.2,C172&lt;=0.8),D172,"")</f>
        <v/>
      </c>
      <c r="F172" s="5">
        <f>IF(ISNUMBER(E172),A172,"")</f>
        <v/>
      </c>
      <c r="G172" s="5">
        <f>IF(AND(ISNUMBER(E172),ISNUMBER($K$4)),E172-($K$7+$K$4*A172),"")</f>
        <v/>
      </c>
    </row>
    <row r="173">
      <c r="A173" s="4" t="n"/>
      <c r="B173" s="4" t="n"/>
      <c r="C173" s="5">
        <f>IF(AND(ISNUMBER(A173),ISNUMBER(B173),ISNUMBER($K$2),ISNUMBER($K$3),$K$3&gt;$K$2),(B173-$K$2)/($K$3-$K$2),"")</f>
        <v/>
      </c>
      <c r="D173" s="5">
        <f>IF(ISNUMBER(C173),IF(B173&lt;$K$3,LN(($K$3-$K$2)/($K$3-B173)),""),"")</f>
        <v/>
      </c>
      <c r="E173" s="5">
        <f>IF(AND(ISNUMBER(C173),ISNUMBER(D173),C173&gt;=0.2,C173&lt;=0.8),D173,"")</f>
        <v/>
      </c>
      <c r="F173" s="5">
        <f>IF(ISNUMBER(E173),A173,"")</f>
        <v/>
      </c>
      <c r="G173" s="5">
        <f>IF(AND(ISNUMBER(E173),ISNUMBER($K$4)),E173-($K$7+$K$4*A173),"")</f>
        <v/>
      </c>
    </row>
    <row r="174">
      <c r="A174" s="4" t="n"/>
      <c r="B174" s="4" t="n"/>
      <c r="C174" s="5">
        <f>IF(AND(ISNUMBER(A174),ISNUMBER(B174),ISNUMBER($K$2),ISNUMBER($K$3),$K$3&gt;$K$2),(B174-$K$2)/($K$3-$K$2),"")</f>
        <v/>
      </c>
      <c r="D174" s="5">
        <f>IF(ISNUMBER(C174),IF(B174&lt;$K$3,LN(($K$3-$K$2)/($K$3-B174)),""),"")</f>
        <v/>
      </c>
      <c r="E174" s="5">
        <f>IF(AND(ISNUMBER(C174),ISNUMBER(D174),C174&gt;=0.2,C174&lt;=0.8),D174,"")</f>
        <v/>
      </c>
      <c r="F174" s="5">
        <f>IF(ISNUMBER(E174),A174,"")</f>
        <v/>
      </c>
      <c r="G174" s="5">
        <f>IF(AND(ISNUMBER(E174),ISNUMBER($K$4)),E174-($K$7+$K$4*A174),"")</f>
        <v/>
      </c>
    </row>
    <row r="175">
      <c r="A175" s="4" t="n"/>
      <c r="B175" s="4" t="n"/>
      <c r="C175" s="5">
        <f>IF(AND(ISNUMBER(A175),ISNUMBER(B175),ISNUMBER($K$2),ISNUMBER($K$3),$K$3&gt;$K$2),(B175-$K$2)/($K$3-$K$2),"")</f>
        <v/>
      </c>
      <c r="D175" s="5">
        <f>IF(ISNUMBER(C175),IF(B175&lt;$K$3,LN(($K$3-$K$2)/($K$3-B175)),""),"")</f>
        <v/>
      </c>
      <c r="E175" s="5">
        <f>IF(AND(ISNUMBER(C175),ISNUMBER(D175),C175&gt;=0.2,C175&lt;=0.8),D175,"")</f>
        <v/>
      </c>
      <c r="F175" s="5">
        <f>IF(ISNUMBER(E175),A175,"")</f>
        <v/>
      </c>
      <c r="G175" s="5">
        <f>IF(AND(ISNUMBER(E175),ISNUMBER($K$4)),E175-($K$7+$K$4*A175),"")</f>
        <v/>
      </c>
    </row>
    <row r="176">
      <c r="A176" s="4" t="n"/>
      <c r="B176" s="4" t="n"/>
      <c r="C176" s="5">
        <f>IF(AND(ISNUMBER(A176),ISNUMBER(B176),ISNUMBER($K$2),ISNUMBER($K$3),$K$3&gt;$K$2),(B176-$K$2)/($K$3-$K$2),"")</f>
        <v/>
      </c>
      <c r="D176" s="5">
        <f>IF(ISNUMBER(C176),IF(B176&lt;$K$3,LN(($K$3-$K$2)/($K$3-B176)),""),"")</f>
        <v/>
      </c>
      <c r="E176" s="5">
        <f>IF(AND(ISNUMBER(C176),ISNUMBER(D176),C176&gt;=0.2,C176&lt;=0.8),D176,"")</f>
        <v/>
      </c>
      <c r="F176" s="5">
        <f>IF(ISNUMBER(E176),A176,"")</f>
        <v/>
      </c>
      <c r="G176" s="5">
        <f>IF(AND(ISNUMBER(E176),ISNUMBER($K$4)),E176-($K$7+$K$4*A176),"")</f>
        <v/>
      </c>
    </row>
    <row r="177">
      <c r="A177" s="4" t="n"/>
      <c r="B177" s="4" t="n"/>
      <c r="C177" s="5">
        <f>IF(AND(ISNUMBER(A177),ISNUMBER(B177),ISNUMBER($K$2),ISNUMBER($K$3),$K$3&gt;$K$2),(B177-$K$2)/($K$3-$K$2),"")</f>
        <v/>
      </c>
      <c r="D177" s="5">
        <f>IF(ISNUMBER(C177),IF(B177&lt;$K$3,LN(($K$3-$K$2)/($K$3-B177)),""),"")</f>
        <v/>
      </c>
      <c r="E177" s="5">
        <f>IF(AND(ISNUMBER(C177),ISNUMBER(D177),C177&gt;=0.2,C177&lt;=0.8),D177,"")</f>
        <v/>
      </c>
      <c r="F177" s="5">
        <f>IF(ISNUMBER(E177),A177,"")</f>
        <v/>
      </c>
      <c r="G177" s="5">
        <f>IF(AND(ISNUMBER(E177),ISNUMBER($K$4)),E177-($K$7+$K$4*A177),"")</f>
        <v/>
      </c>
    </row>
    <row r="178">
      <c r="A178" s="4" t="n"/>
      <c r="B178" s="4" t="n"/>
      <c r="C178" s="5">
        <f>IF(AND(ISNUMBER(A178),ISNUMBER(B178),ISNUMBER($K$2),ISNUMBER($K$3),$K$3&gt;$K$2),(B178-$K$2)/($K$3-$K$2),"")</f>
        <v/>
      </c>
      <c r="D178" s="5">
        <f>IF(ISNUMBER(C178),IF(B178&lt;$K$3,LN(($K$3-$K$2)/($K$3-B178)),""),"")</f>
        <v/>
      </c>
      <c r="E178" s="5">
        <f>IF(AND(ISNUMBER(C178),ISNUMBER(D178),C178&gt;=0.2,C178&lt;=0.8),D178,"")</f>
        <v/>
      </c>
      <c r="F178" s="5">
        <f>IF(ISNUMBER(E178),A178,"")</f>
        <v/>
      </c>
      <c r="G178" s="5">
        <f>IF(AND(ISNUMBER(E178),ISNUMBER($K$4)),E178-($K$7+$K$4*A178),"")</f>
        <v/>
      </c>
    </row>
    <row r="179">
      <c r="A179" s="4" t="n"/>
      <c r="B179" s="4" t="n"/>
      <c r="C179" s="5">
        <f>IF(AND(ISNUMBER(A179),ISNUMBER(B179),ISNUMBER($K$2),ISNUMBER($K$3),$K$3&gt;$K$2),(B179-$K$2)/($K$3-$K$2),"")</f>
        <v/>
      </c>
      <c r="D179" s="5">
        <f>IF(ISNUMBER(C179),IF(B179&lt;$K$3,LN(($K$3-$K$2)/($K$3-B179)),""),"")</f>
        <v/>
      </c>
      <c r="E179" s="5">
        <f>IF(AND(ISNUMBER(C179),ISNUMBER(D179),C179&gt;=0.2,C179&lt;=0.8),D179,"")</f>
        <v/>
      </c>
      <c r="F179" s="5">
        <f>IF(ISNUMBER(E179),A179,"")</f>
        <v/>
      </c>
      <c r="G179" s="5">
        <f>IF(AND(ISNUMBER(E179),ISNUMBER($K$4)),E179-($K$7+$K$4*A179),"")</f>
        <v/>
      </c>
    </row>
    <row r="180">
      <c r="A180" s="4" t="n"/>
      <c r="B180" s="4" t="n"/>
      <c r="C180" s="5">
        <f>IF(AND(ISNUMBER(A180),ISNUMBER(B180),ISNUMBER($K$2),ISNUMBER($K$3),$K$3&gt;$K$2),(B180-$K$2)/($K$3-$K$2),"")</f>
        <v/>
      </c>
      <c r="D180" s="5">
        <f>IF(ISNUMBER(C180),IF(B180&lt;$K$3,LN(($K$3-$K$2)/($K$3-B180)),""),"")</f>
        <v/>
      </c>
      <c r="E180" s="5">
        <f>IF(AND(ISNUMBER(C180),ISNUMBER(D180),C180&gt;=0.2,C180&lt;=0.8),D180,"")</f>
        <v/>
      </c>
      <c r="F180" s="5">
        <f>IF(ISNUMBER(E180),A180,"")</f>
        <v/>
      </c>
      <c r="G180" s="5">
        <f>IF(AND(ISNUMBER(E180),ISNUMBER($K$4)),E180-($K$7+$K$4*A180),"")</f>
        <v/>
      </c>
    </row>
    <row r="181">
      <c r="A181" s="4" t="n"/>
      <c r="B181" s="4" t="n"/>
      <c r="C181" s="5">
        <f>IF(AND(ISNUMBER(A181),ISNUMBER(B181),ISNUMBER($K$2),ISNUMBER($K$3),$K$3&gt;$K$2),(B181-$K$2)/($K$3-$K$2),"")</f>
        <v/>
      </c>
      <c r="D181" s="5">
        <f>IF(ISNUMBER(C181),IF(B181&lt;$K$3,LN(($K$3-$K$2)/($K$3-B181)),""),"")</f>
        <v/>
      </c>
      <c r="E181" s="5">
        <f>IF(AND(ISNUMBER(C181),ISNUMBER(D181),C181&gt;=0.2,C181&lt;=0.8),D181,"")</f>
        <v/>
      </c>
      <c r="F181" s="5">
        <f>IF(ISNUMBER(E181),A181,"")</f>
        <v/>
      </c>
      <c r="G181" s="5">
        <f>IF(AND(ISNUMBER(E181),ISNUMBER($K$4)),E181-($K$7+$K$4*A181),"")</f>
        <v/>
      </c>
    </row>
    <row r="182">
      <c r="A182" s="4" t="n"/>
      <c r="B182" s="4" t="n"/>
      <c r="C182" s="5">
        <f>IF(AND(ISNUMBER(A182),ISNUMBER(B182),ISNUMBER($K$2),ISNUMBER($K$3),$K$3&gt;$K$2),(B182-$K$2)/($K$3-$K$2),"")</f>
        <v/>
      </c>
      <c r="D182" s="5">
        <f>IF(ISNUMBER(C182),IF(B182&lt;$K$3,LN(($K$3-$K$2)/($K$3-B182)),""),"")</f>
        <v/>
      </c>
      <c r="E182" s="5">
        <f>IF(AND(ISNUMBER(C182),ISNUMBER(D182),C182&gt;=0.2,C182&lt;=0.8),D182,"")</f>
        <v/>
      </c>
      <c r="F182" s="5">
        <f>IF(ISNUMBER(E182),A182,"")</f>
        <v/>
      </c>
      <c r="G182" s="5">
        <f>IF(AND(ISNUMBER(E182),ISNUMBER($K$4)),E182-($K$7+$K$4*A182),"")</f>
        <v/>
      </c>
    </row>
    <row r="183">
      <c r="A183" s="4" t="n"/>
      <c r="B183" s="4" t="n"/>
      <c r="C183" s="5">
        <f>IF(AND(ISNUMBER(A183),ISNUMBER(B183),ISNUMBER($K$2),ISNUMBER($K$3),$K$3&gt;$K$2),(B183-$K$2)/($K$3-$K$2),"")</f>
        <v/>
      </c>
      <c r="D183" s="5">
        <f>IF(ISNUMBER(C183),IF(B183&lt;$K$3,LN(($K$3-$K$2)/($K$3-B183)),""),"")</f>
        <v/>
      </c>
      <c r="E183" s="5">
        <f>IF(AND(ISNUMBER(C183),ISNUMBER(D183),C183&gt;=0.2,C183&lt;=0.8),D183,"")</f>
        <v/>
      </c>
      <c r="F183" s="5">
        <f>IF(ISNUMBER(E183),A183,"")</f>
        <v/>
      </c>
      <c r="G183" s="5">
        <f>IF(AND(ISNUMBER(E183),ISNUMBER($K$4)),E183-($K$7+$K$4*A183),"")</f>
        <v/>
      </c>
    </row>
    <row r="184">
      <c r="A184" s="4" t="n"/>
      <c r="B184" s="4" t="n"/>
      <c r="C184" s="5">
        <f>IF(AND(ISNUMBER(A184),ISNUMBER(B184),ISNUMBER($K$2),ISNUMBER($K$3),$K$3&gt;$K$2),(B184-$K$2)/($K$3-$K$2),"")</f>
        <v/>
      </c>
      <c r="D184" s="5">
        <f>IF(ISNUMBER(C184),IF(B184&lt;$K$3,LN(($K$3-$K$2)/($K$3-B184)),""),"")</f>
        <v/>
      </c>
      <c r="E184" s="5">
        <f>IF(AND(ISNUMBER(C184),ISNUMBER(D184),C184&gt;=0.2,C184&lt;=0.8),D184,"")</f>
        <v/>
      </c>
      <c r="F184" s="5">
        <f>IF(ISNUMBER(E184),A184,"")</f>
        <v/>
      </c>
      <c r="G184" s="5">
        <f>IF(AND(ISNUMBER(E184),ISNUMBER($K$4)),E184-($K$7+$K$4*A184),"")</f>
        <v/>
      </c>
    </row>
    <row r="185">
      <c r="A185" s="4" t="n"/>
      <c r="B185" s="4" t="n"/>
      <c r="C185" s="5">
        <f>IF(AND(ISNUMBER(A185),ISNUMBER(B185),ISNUMBER($K$2),ISNUMBER($K$3),$K$3&gt;$K$2),(B185-$K$2)/($K$3-$K$2),"")</f>
        <v/>
      </c>
      <c r="D185" s="5">
        <f>IF(ISNUMBER(C185),IF(B185&lt;$K$3,LN(($K$3-$K$2)/($K$3-B185)),""),"")</f>
        <v/>
      </c>
      <c r="E185" s="5">
        <f>IF(AND(ISNUMBER(C185),ISNUMBER(D185),C185&gt;=0.2,C185&lt;=0.8),D185,"")</f>
        <v/>
      </c>
      <c r="F185" s="5">
        <f>IF(ISNUMBER(E185),A185,"")</f>
        <v/>
      </c>
      <c r="G185" s="5">
        <f>IF(AND(ISNUMBER(E185),ISNUMBER($K$4)),E185-($K$7+$K$4*A185),"")</f>
        <v/>
      </c>
    </row>
    <row r="186">
      <c r="A186" s="4" t="n"/>
      <c r="B186" s="4" t="n"/>
      <c r="C186" s="5">
        <f>IF(AND(ISNUMBER(A186),ISNUMBER(B186),ISNUMBER($K$2),ISNUMBER($K$3),$K$3&gt;$K$2),(B186-$K$2)/($K$3-$K$2),"")</f>
        <v/>
      </c>
      <c r="D186" s="5">
        <f>IF(ISNUMBER(C186),IF(B186&lt;$K$3,LN(($K$3-$K$2)/($K$3-B186)),""),"")</f>
        <v/>
      </c>
      <c r="E186" s="5">
        <f>IF(AND(ISNUMBER(C186),ISNUMBER(D186),C186&gt;=0.2,C186&lt;=0.8),D186,"")</f>
        <v/>
      </c>
      <c r="F186" s="5">
        <f>IF(ISNUMBER(E186),A186,"")</f>
        <v/>
      </c>
      <c r="G186" s="5">
        <f>IF(AND(ISNUMBER(E186),ISNUMBER($K$4)),E186-($K$7+$K$4*A186),"")</f>
        <v/>
      </c>
    </row>
    <row r="187">
      <c r="A187" s="4" t="n"/>
      <c r="B187" s="4" t="n"/>
      <c r="C187" s="5">
        <f>IF(AND(ISNUMBER(A187),ISNUMBER(B187),ISNUMBER($K$2),ISNUMBER($K$3),$K$3&gt;$K$2),(B187-$K$2)/($K$3-$K$2),"")</f>
        <v/>
      </c>
      <c r="D187" s="5">
        <f>IF(ISNUMBER(C187),IF(B187&lt;$K$3,LN(($K$3-$K$2)/($K$3-B187)),""),"")</f>
        <v/>
      </c>
      <c r="E187" s="5">
        <f>IF(AND(ISNUMBER(C187),ISNUMBER(D187),C187&gt;=0.2,C187&lt;=0.8),D187,"")</f>
        <v/>
      </c>
      <c r="F187" s="5">
        <f>IF(ISNUMBER(E187),A187,"")</f>
        <v/>
      </c>
      <c r="G187" s="5">
        <f>IF(AND(ISNUMBER(E187),ISNUMBER($K$4)),E187-($K$7+$K$4*A187),"")</f>
        <v/>
      </c>
    </row>
    <row r="188">
      <c r="A188" s="4" t="n"/>
      <c r="B188" s="4" t="n"/>
      <c r="C188" s="5">
        <f>IF(AND(ISNUMBER(A188),ISNUMBER(B188),ISNUMBER($K$2),ISNUMBER($K$3),$K$3&gt;$K$2),(B188-$K$2)/($K$3-$K$2),"")</f>
        <v/>
      </c>
      <c r="D188" s="5">
        <f>IF(ISNUMBER(C188),IF(B188&lt;$K$3,LN(($K$3-$K$2)/($K$3-B188)),""),"")</f>
        <v/>
      </c>
      <c r="E188" s="5">
        <f>IF(AND(ISNUMBER(C188),ISNUMBER(D188),C188&gt;=0.2,C188&lt;=0.8),D188,"")</f>
        <v/>
      </c>
      <c r="F188" s="5">
        <f>IF(ISNUMBER(E188),A188,"")</f>
        <v/>
      </c>
      <c r="G188" s="5">
        <f>IF(AND(ISNUMBER(E188),ISNUMBER($K$4)),E188-($K$7+$K$4*A188),"")</f>
        <v/>
      </c>
    </row>
    <row r="189">
      <c r="A189" s="4" t="n"/>
      <c r="B189" s="4" t="n"/>
      <c r="C189" s="5">
        <f>IF(AND(ISNUMBER(A189),ISNUMBER(B189),ISNUMBER($K$2),ISNUMBER($K$3),$K$3&gt;$K$2),(B189-$K$2)/($K$3-$K$2),"")</f>
        <v/>
      </c>
      <c r="D189" s="5">
        <f>IF(ISNUMBER(C189),IF(B189&lt;$K$3,LN(($K$3-$K$2)/($K$3-B189)),""),"")</f>
        <v/>
      </c>
      <c r="E189" s="5">
        <f>IF(AND(ISNUMBER(C189),ISNUMBER(D189),C189&gt;=0.2,C189&lt;=0.8),D189,"")</f>
        <v/>
      </c>
      <c r="F189" s="5">
        <f>IF(ISNUMBER(E189),A189,"")</f>
        <v/>
      </c>
      <c r="G189" s="5">
        <f>IF(AND(ISNUMBER(E189),ISNUMBER($K$4)),E189-($K$7+$K$4*A189),"")</f>
        <v/>
      </c>
    </row>
    <row r="190">
      <c r="A190" s="4" t="n"/>
      <c r="B190" s="4" t="n"/>
      <c r="C190" s="5">
        <f>IF(AND(ISNUMBER(A190),ISNUMBER(B190),ISNUMBER($K$2),ISNUMBER($K$3),$K$3&gt;$K$2),(B190-$K$2)/($K$3-$K$2),"")</f>
        <v/>
      </c>
      <c r="D190" s="5">
        <f>IF(ISNUMBER(C190),IF(B190&lt;$K$3,LN(($K$3-$K$2)/($K$3-B190)),""),"")</f>
        <v/>
      </c>
      <c r="E190" s="5">
        <f>IF(AND(ISNUMBER(C190),ISNUMBER(D190),C190&gt;=0.2,C190&lt;=0.8),D190,"")</f>
        <v/>
      </c>
      <c r="F190" s="5">
        <f>IF(ISNUMBER(E190),A190,"")</f>
        <v/>
      </c>
      <c r="G190" s="5">
        <f>IF(AND(ISNUMBER(E190),ISNUMBER($K$4)),E190-($K$7+$K$4*A190),"")</f>
        <v/>
      </c>
    </row>
    <row r="191">
      <c r="A191" s="4" t="n"/>
      <c r="B191" s="4" t="n"/>
      <c r="C191" s="5">
        <f>IF(AND(ISNUMBER(A191),ISNUMBER(B191),ISNUMBER($K$2),ISNUMBER($K$3),$K$3&gt;$K$2),(B191-$K$2)/($K$3-$K$2),"")</f>
        <v/>
      </c>
      <c r="D191" s="5">
        <f>IF(ISNUMBER(C191),IF(B191&lt;$K$3,LN(($K$3-$K$2)/($K$3-B191)),""),"")</f>
        <v/>
      </c>
      <c r="E191" s="5">
        <f>IF(AND(ISNUMBER(C191),ISNUMBER(D191),C191&gt;=0.2,C191&lt;=0.8),D191,"")</f>
        <v/>
      </c>
      <c r="F191" s="5">
        <f>IF(ISNUMBER(E191),A191,"")</f>
        <v/>
      </c>
      <c r="G191" s="5">
        <f>IF(AND(ISNUMBER(E191),ISNUMBER($K$4)),E191-($K$7+$K$4*A191),"")</f>
        <v/>
      </c>
    </row>
    <row r="192">
      <c r="A192" s="4" t="n"/>
      <c r="B192" s="4" t="n"/>
      <c r="C192" s="5">
        <f>IF(AND(ISNUMBER(A192),ISNUMBER(B192),ISNUMBER($K$2),ISNUMBER($K$3),$K$3&gt;$K$2),(B192-$K$2)/($K$3-$K$2),"")</f>
        <v/>
      </c>
      <c r="D192" s="5">
        <f>IF(ISNUMBER(C192),IF(B192&lt;$K$3,LN(($K$3-$K$2)/($K$3-B192)),""),"")</f>
        <v/>
      </c>
      <c r="E192" s="5">
        <f>IF(AND(ISNUMBER(C192),ISNUMBER(D192),C192&gt;=0.2,C192&lt;=0.8),D192,"")</f>
        <v/>
      </c>
      <c r="F192" s="5">
        <f>IF(ISNUMBER(E192),A192,"")</f>
        <v/>
      </c>
      <c r="G192" s="5">
        <f>IF(AND(ISNUMBER(E192),ISNUMBER($K$4)),E192-($K$7+$K$4*A192),"")</f>
        <v/>
      </c>
    </row>
    <row r="193">
      <c r="A193" s="4" t="n"/>
      <c r="B193" s="4" t="n"/>
      <c r="C193" s="5">
        <f>IF(AND(ISNUMBER(A193),ISNUMBER(B193),ISNUMBER($K$2),ISNUMBER($K$3),$K$3&gt;$K$2),(B193-$K$2)/($K$3-$K$2),"")</f>
        <v/>
      </c>
      <c r="D193" s="5">
        <f>IF(ISNUMBER(C193),IF(B193&lt;$K$3,LN(($K$3-$K$2)/($K$3-B193)),""),"")</f>
        <v/>
      </c>
      <c r="E193" s="5">
        <f>IF(AND(ISNUMBER(C193),ISNUMBER(D193),C193&gt;=0.2,C193&lt;=0.8),D193,"")</f>
        <v/>
      </c>
      <c r="F193" s="5">
        <f>IF(ISNUMBER(E193),A193,"")</f>
        <v/>
      </c>
      <c r="G193" s="5">
        <f>IF(AND(ISNUMBER(E193),ISNUMBER($K$4)),E193-($K$7+$K$4*A193),"")</f>
        <v/>
      </c>
    </row>
    <row r="194">
      <c r="A194" s="4" t="n"/>
      <c r="B194" s="4" t="n"/>
      <c r="C194" s="5">
        <f>IF(AND(ISNUMBER(A194),ISNUMBER(B194),ISNUMBER($K$2),ISNUMBER($K$3),$K$3&gt;$K$2),(B194-$K$2)/($K$3-$K$2),"")</f>
        <v/>
      </c>
      <c r="D194" s="5">
        <f>IF(ISNUMBER(C194),IF(B194&lt;$K$3,LN(($K$3-$K$2)/($K$3-B194)),""),"")</f>
        <v/>
      </c>
      <c r="E194" s="5">
        <f>IF(AND(ISNUMBER(C194),ISNUMBER(D194),C194&gt;=0.2,C194&lt;=0.8),D194,"")</f>
        <v/>
      </c>
      <c r="F194" s="5">
        <f>IF(ISNUMBER(E194),A194,"")</f>
        <v/>
      </c>
      <c r="G194" s="5">
        <f>IF(AND(ISNUMBER(E194),ISNUMBER($K$4)),E194-($K$7+$K$4*A194),"")</f>
        <v/>
      </c>
    </row>
    <row r="195">
      <c r="A195" s="4" t="n"/>
      <c r="B195" s="4" t="n"/>
      <c r="C195" s="5">
        <f>IF(AND(ISNUMBER(A195),ISNUMBER(B195),ISNUMBER($K$2),ISNUMBER($K$3),$K$3&gt;$K$2),(B195-$K$2)/($K$3-$K$2),"")</f>
        <v/>
      </c>
      <c r="D195" s="5">
        <f>IF(ISNUMBER(C195),IF(B195&lt;$K$3,LN(($K$3-$K$2)/($K$3-B195)),""),"")</f>
        <v/>
      </c>
      <c r="E195" s="5">
        <f>IF(AND(ISNUMBER(C195),ISNUMBER(D195),C195&gt;=0.2,C195&lt;=0.8),D195,"")</f>
        <v/>
      </c>
      <c r="F195" s="5">
        <f>IF(ISNUMBER(E195),A195,"")</f>
        <v/>
      </c>
      <c r="G195" s="5">
        <f>IF(AND(ISNUMBER(E195),ISNUMBER($K$4)),E195-($K$7+$K$4*A195),"")</f>
        <v/>
      </c>
    </row>
    <row r="196">
      <c r="A196" s="4" t="n"/>
      <c r="B196" s="4" t="n"/>
      <c r="C196" s="5">
        <f>IF(AND(ISNUMBER(A196),ISNUMBER(B196),ISNUMBER($K$2),ISNUMBER($K$3),$K$3&gt;$K$2),(B196-$K$2)/($K$3-$K$2),"")</f>
        <v/>
      </c>
      <c r="D196" s="5">
        <f>IF(ISNUMBER(C196),IF(B196&lt;$K$3,LN(($K$3-$K$2)/($K$3-B196)),""),"")</f>
        <v/>
      </c>
      <c r="E196" s="5">
        <f>IF(AND(ISNUMBER(C196),ISNUMBER(D196),C196&gt;=0.2,C196&lt;=0.8),D196,"")</f>
        <v/>
      </c>
      <c r="F196" s="5">
        <f>IF(ISNUMBER(E196),A196,"")</f>
        <v/>
      </c>
      <c r="G196" s="5">
        <f>IF(AND(ISNUMBER(E196),ISNUMBER($K$4)),E196-($K$7+$K$4*A196),"")</f>
        <v/>
      </c>
    </row>
    <row r="197">
      <c r="A197" s="4" t="n"/>
      <c r="B197" s="4" t="n"/>
      <c r="C197" s="5">
        <f>IF(AND(ISNUMBER(A197),ISNUMBER(B197),ISNUMBER($K$2),ISNUMBER($K$3),$K$3&gt;$K$2),(B197-$K$2)/($K$3-$K$2),"")</f>
        <v/>
      </c>
      <c r="D197" s="5">
        <f>IF(ISNUMBER(C197),IF(B197&lt;$K$3,LN(($K$3-$K$2)/($K$3-B197)),""),"")</f>
        <v/>
      </c>
      <c r="E197" s="5">
        <f>IF(AND(ISNUMBER(C197),ISNUMBER(D197),C197&gt;=0.2,C197&lt;=0.8),D197,"")</f>
        <v/>
      </c>
      <c r="F197" s="5">
        <f>IF(ISNUMBER(E197),A197,"")</f>
        <v/>
      </c>
      <c r="G197" s="5">
        <f>IF(AND(ISNUMBER(E197),ISNUMBER($K$4)),E197-($K$7+$K$4*A197),"")</f>
        <v/>
      </c>
    </row>
    <row r="198">
      <c r="A198" s="4" t="n"/>
      <c r="B198" s="4" t="n"/>
      <c r="C198" s="5">
        <f>IF(AND(ISNUMBER(A198),ISNUMBER(B198),ISNUMBER($K$2),ISNUMBER($K$3),$K$3&gt;$K$2),(B198-$K$2)/($K$3-$K$2),"")</f>
        <v/>
      </c>
      <c r="D198" s="5">
        <f>IF(ISNUMBER(C198),IF(B198&lt;$K$3,LN(($K$3-$K$2)/($K$3-B198)),""),"")</f>
        <v/>
      </c>
      <c r="E198" s="5">
        <f>IF(AND(ISNUMBER(C198),ISNUMBER(D198),C198&gt;=0.2,C198&lt;=0.8),D198,"")</f>
        <v/>
      </c>
      <c r="F198" s="5">
        <f>IF(ISNUMBER(E198),A198,"")</f>
        <v/>
      </c>
      <c r="G198" s="5">
        <f>IF(AND(ISNUMBER(E198),ISNUMBER($K$4)),E198-($K$7+$K$4*A198),"")</f>
        <v/>
      </c>
    </row>
    <row r="199">
      <c r="A199" s="4" t="n"/>
      <c r="B199" s="4" t="n"/>
      <c r="C199" s="5">
        <f>IF(AND(ISNUMBER(A199),ISNUMBER(B199),ISNUMBER($K$2),ISNUMBER($K$3),$K$3&gt;$K$2),(B199-$K$2)/($K$3-$K$2),"")</f>
        <v/>
      </c>
      <c r="D199" s="5">
        <f>IF(ISNUMBER(C199),IF(B199&lt;$K$3,LN(($K$3-$K$2)/($K$3-B199)),""),"")</f>
        <v/>
      </c>
      <c r="E199" s="5">
        <f>IF(AND(ISNUMBER(C199),ISNUMBER(D199),C199&gt;=0.2,C199&lt;=0.8),D199,"")</f>
        <v/>
      </c>
      <c r="F199" s="5">
        <f>IF(ISNUMBER(E199),A199,"")</f>
        <v/>
      </c>
      <c r="G199" s="5">
        <f>IF(AND(ISNUMBER(E199),ISNUMBER($K$4)),E199-($K$7+$K$4*A199),"")</f>
        <v/>
      </c>
    </row>
    <row r="200">
      <c r="A200" s="4" t="n"/>
      <c r="B200" s="4" t="n"/>
      <c r="C200" s="5">
        <f>IF(AND(ISNUMBER(A200),ISNUMBER(B200),ISNUMBER($K$2),ISNUMBER($K$3),$K$3&gt;$K$2),(B200-$K$2)/($K$3-$K$2),"")</f>
        <v/>
      </c>
      <c r="D200" s="5">
        <f>IF(ISNUMBER(C200),IF(B200&lt;$K$3,LN(($K$3-$K$2)/($K$3-B200)),""),"")</f>
        <v/>
      </c>
      <c r="E200" s="5">
        <f>IF(AND(ISNUMBER(C200),ISNUMBER(D200),C200&gt;=0.2,C200&lt;=0.8),D200,"")</f>
        <v/>
      </c>
      <c r="F200" s="5">
        <f>IF(ISNUMBER(E200),A200,"")</f>
        <v/>
      </c>
      <c r="G200" s="5">
        <f>IF(AND(ISNUMBER(E200),ISNUMBER($K$4)),E200-($K$7+$K$4*A200),"")</f>
        <v/>
      </c>
    </row>
    <row r="201">
      <c r="A201" s="4" t="n"/>
      <c r="B201" s="4" t="n"/>
      <c r="C201" s="5">
        <f>IF(AND(ISNUMBER(A201),ISNUMBER(B201),ISNUMBER($K$2),ISNUMBER($K$3),$K$3&gt;$K$2),(B201-$K$2)/($K$3-$K$2),"")</f>
        <v/>
      </c>
      <c r="D201" s="5">
        <f>IF(ISNUMBER(C201),IF(B201&lt;$K$3,LN(($K$3-$K$2)/($K$3-B201)),""),"")</f>
        <v/>
      </c>
      <c r="E201" s="5">
        <f>IF(AND(ISNUMBER(C201),ISNUMBER(D201),C201&gt;=0.2,C201&lt;=0.8),D201,"")</f>
        <v/>
      </c>
      <c r="F201" s="5">
        <f>IF(ISNUMBER(E201),A201,"")</f>
        <v/>
      </c>
      <c r="G201" s="5">
        <f>IF(AND(ISNUMBER(E201),ISNUMBER($K$4)),E201-($K$7+$K$4*A201),"")</f>
        <v/>
      </c>
    </row>
    <row r="202">
      <c r="A202" s="4" t="n"/>
      <c r="B202" s="4" t="n"/>
      <c r="C202" s="5">
        <f>IF(AND(ISNUMBER(A202),ISNUMBER(B202),ISNUMBER($K$2),ISNUMBER($K$3),$K$3&gt;$K$2),(B202-$K$2)/($K$3-$K$2),"")</f>
        <v/>
      </c>
      <c r="D202" s="5">
        <f>IF(ISNUMBER(C202),IF(B202&lt;$K$3,LN(($K$3-$K$2)/($K$3-B202)),""),"")</f>
        <v/>
      </c>
      <c r="E202" s="5">
        <f>IF(AND(ISNUMBER(C202),ISNUMBER(D202),C202&gt;=0.2,C202&lt;=0.8),D202,"")</f>
        <v/>
      </c>
      <c r="F202" s="5">
        <f>IF(ISNUMBER(E202),A202,"")</f>
        <v/>
      </c>
      <c r="G202" s="5">
        <f>IF(AND(ISNUMBER(E202),ISNUMBER($K$4)),E202-($K$7+$K$4*A202),"")</f>
        <v/>
      </c>
    </row>
    <row r="203">
      <c r="A203" s="4" t="n"/>
      <c r="B203" s="4" t="n"/>
      <c r="C203" s="5">
        <f>IF(AND(ISNUMBER(A203),ISNUMBER(B203),ISNUMBER($K$2),ISNUMBER($K$3),$K$3&gt;$K$2),(B203-$K$2)/($K$3-$K$2),"")</f>
        <v/>
      </c>
      <c r="D203" s="5">
        <f>IF(ISNUMBER(C203),IF(B203&lt;$K$3,LN(($K$3-$K$2)/($K$3-B203)),""),"")</f>
        <v/>
      </c>
      <c r="E203" s="5">
        <f>IF(AND(ISNUMBER(C203),ISNUMBER(D203),C203&gt;=0.2,C203&lt;=0.8),D203,"")</f>
        <v/>
      </c>
      <c r="F203" s="5">
        <f>IF(ISNUMBER(E203),A203,"")</f>
        <v/>
      </c>
      <c r="G203" s="5">
        <f>IF(AND(ISNUMBER(E203),ISNUMBER($K$4)),E203-($K$7+$K$4*A203),"")</f>
        <v/>
      </c>
    </row>
    <row r="204">
      <c r="A204" s="4" t="n"/>
      <c r="B204" s="4" t="n"/>
      <c r="C204" s="5">
        <f>IF(AND(ISNUMBER(A204),ISNUMBER(B204),ISNUMBER($K$2),ISNUMBER($K$3),$K$3&gt;$K$2),(B204-$K$2)/($K$3-$K$2),"")</f>
        <v/>
      </c>
      <c r="D204" s="5">
        <f>IF(ISNUMBER(C204),IF(B204&lt;$K$3,LN(($K$3-$K$2)/($K$3-B204)),""),"")</f>
        <v/>
      </c>
      <c r="E204" s="5">
        <f>IF(AND(ISNUMBER(C204),ISNUMBER(D204),C204&gt;=0.2,C204&lt;=0.8),D204,"")</f>
        <v/>
      </c>
      <c r="F204" s="5">
        <f>IF(ISNUMBER(E204),A204,"")</f>
        <v/>
      </c>
      <c r="G204" s="5">
        <f>IF(AND(ISNUMBER(E204),ISNUMBER($K$4)),E204-($K$7+$K$4*A204),"")</f>
        <v/>
      </c>
    </row>
    <row r="205">
      <c r="A205" s="4" t="n"/>
      <c r="B205" s="4" t="n"/>
      <c r="C205" s="5">
        <f>IF(AND(ISNUMBER(A205),ISNUMBER(B205),ISNUMBER($K$2),ISNUMBER($K$3),$K$3&gt;$K$2),(B205-$K$2)/($K$3-$K$2),"")</f>
        <v/>
      </c>
      <c r="D205" s="5">
        <f>IF(ISNUMBER(C205),IF(B205&lt;$K$3,LN(($K$3-$K$2)/($K$3-B205)),""),"")</f>
        <v/>
      </c>
      <c r="E205" s="5">
        <f>IF(AND(ISNUMBER(C205),ISNUMBER(D205),C205&gt;=0.2,C205&lt;=0.8),D205,"")</f>
        <v/>
      </c>
      <c r="F205" s="5">
        <f>IF(ISNUMBER(E205),A205,"")</f>
        <v/>
      </c>
      <c r="G205" s="5">
        <f>IF(AND(ISNUMBER(E205),ISNUMBER($K$4)),E205-($K$7+$K$4*A205),"")</f>
        <v/>
      </c>
    </row>
    <row r="206">
      <c r="A206" s="4" t="n"/>
      <c r="B206" s="4" t="n"/>
      <c r="C206" s="5">
        <f>IF(AND(ISNUMBER(A206),ISNUMBER(B206),ISNUMBER($K$2),ISNUMBER($K$3),$K$3&gt;$K$2),(B206-$K$2)/($K$3-$K$2),"")</f>
        <v/>
      </c>
      <c r="D206" s="5">
        <f>IF(ISNUMBER(C206),IF(B206&lt;$K$3,LN(($K$3-$K$2)/($K$3-B206)),""),"")</f>
        <v/>
      </c>
      <c r="E206" s="5">
        <f>IF(AND(ISNUMBER(C206),ISNUMBER(D206),C206&gt;=0.2,C206&lt;=0.8),D206,"")</f>
        <v/>
      </c>
      <c r="F206" s="5">
        <f>IF(ISNUMBER(E206),A206,"")</f>
        <v/>
      </c>
      <c r="G206" s="5">
        <f>IF(AND(ISNUMBER(E206),ISNUMBER($K$4)),E206-($K$7+$K$4*A206),"")</f>
        <v/>
      </c>
    </row>
    <row r="207">
      <c r="A207" s="4" t="n"/>
      <c r="B207" s="4" t="n"/>
      <c r="C207" s="5">
        <f>IF(AND(ISNUMBER(A207),ISNUMBER(B207),ISNUMBER($K$2),ISNUMBER($K$3),$K$3&gt;$K$2),(B207-$K$2)/($K$3-$K$2),"")</f>
        <v/>
      </c>
      <c r="D207" s="5">
        <f>IF(ISNUMBER(C207),IF(B207&lt;$K$3,LN(($K$3-$K$2)/($K$3-B207)),""),"")</f>
        <v/>
      </c>
      <c r="E207" s="5">
        <f>IF(AND(ISNUMBER(C207),ISNUMBER(D207),C207&gt;=0.2,C207&lt;=0.8),D207,"")</f>
        <v/>
      </c>
      <c r="F207" s="5">
        <f>IF(ISNUMBER(E207),A207,"")</f>
        <v/>
      </c>
      <c r="G207" s="5">
        <f>IF(AND(ISNUMBER(E207),ISNUMBER($K$4)),E207-($K$7+$K$4*A207),"")</f>
        <v/>
      </c>
    </row>
    <row r="208">
      <c r="A208" s="4" t="n"/>
      <c r="B208" s="4" t="n"/>
      <c r="C208" s="5">
        <f>IF(AND(ISNUMBER(A208),ISNUMBER(B208),ISNUMBER($K$2),ISNUMBER($K$3),$K$3&gt;$K$2),(B208-$K$2)/($K$3-$K$2),"")</f>
        <v/>
      </c>
      <c r="D208" s="5">
        <f>IF(ISNUMBER(C208),IF(B208&lt;$K$3,LN(($K$3-$K$2)/($K$3-B208)),""),"")</f>
        <v/>
      </c>
      <c r="E208" s="5">
        <f>IF(AND(ISNUMBER(C208),ISNUMBER(D208),C208&gt;=0.2,C208&lt;=0.8),D208,"")</f>
        <v/>
      </c>
      <c r="F208" s="5">
        <f>IF(ISNUMBER(E208),A208,"")</f>
        <v/>
      </c>
      <c r="G208" s="5">
        <f>IF(AND(ISNUMBER(E208),ISNUMBER($K$4)),E208-($K$7+$K$4*A208),"")</f>
        <v/>
      </c>
    </row>
    <row r="209">
      <c r="A209" s="4" t="n"/>
      <c r="B209" s="4" t="n"/>
      <c r="C209" s="5">
        <f>IF(AND(ISNUMBER(A209),ISNUMBER(B209),ISNUMBER($K$2),ISNUMBER($K$3),$K$3&gt;$K$2),(B209-$K$2)/($K$3-$K$2),"")</f>
        <v/>
      </c>
      <c r="D209" s="5">
        <f>IF(ISNUMBER(C209),IF(B209&lt;$K$3,LN(($K$3-$K$2)/($K$3-B209)),""),"")</f>
        <v/>
      </c>
      <c r="E209" s="5">
        <f>IF(AND(ISNUMBER(C209),ISNUMBER(D209),C209&gt;=0.2,C209&lt;=0.8),D209,"")</f>
        <v/>
      </c>
      <c r="F209" s="5">
        <f>IF(ISNUMBER(E209),A209,"")</f>
        <v/>
      </c>
      <c r="G209" s="5">
        <f>IF(AND(ISNUMBER(E209),ISNUMBER($K$4)),E209-($K$7+$K$4*A209),"")</f>
        <v/>
      </c>
    </row>
    <row r="210">
      <c r="A210" s="4" t="n"/>
      <c r="B210" s="4" t="n"/>
      <c r="C210" s="5">
        <f>IF(AND(ISNUMBER(A210),ISNUMBER(B210),ISNUMBER($K$2),ISNUMBER($K$3),$K$3&gt;$K$2),(B210-$K$2)/($K$3-$K$2),"")</f>
        <v/>
      </c>
      <c r="D210" s="5">
        <f>IF(ISNUMBER(C210),IF(B210&lt;$K$3,LN(($K$3-$K$2)/($K$3-B210)),""),"")</f>
        <v/>
      </c>
      <c r="E210" s="5">
        <f>IF(AND(ISNUMBER(C210),ISNUMBER(D210),C210&gt;=0.2,C210&lt;=0.8),D210,"")</f>
        <v/>
      </c>
      <c r="F210" s="5">
        <f>IF(ISNUMBER(E210),A210,"")</f>
        <v/>
      </c>
      <c r="G210" s="5">
        <f>IF(AND(ISNUMBER(E210),ISNUMBER($K$4)),E210-($K$7+$K$4*A210),"")</f>
        <v/>
      </c>
    </row>
    <row r="211">
      <c r="A211" s="4" t="n"/>
      <c r="B211" s="4" t="n"/>
      <c r="C211" s="5">
        <f>IF(AND(ISNUMBER(A211),ISNUMBER(B211),ISNUMBER($K$2),ISNUMBER($K$3),$K$3&gt;$K$2),(B211-$K$2)/($K$3-$K$2),"")</f>
        <v/>
      </c>
      <c r="D211" s="5">
        <f>IF(ISNUMBER(C211),IF(B211&lt;$K$3,LN(($K$3-$K$2)/($K$3-B211)),""),"")</f>
        <v/>
      </c>
      <c r="E211" s="5">
        <f>IF(AND(ISNUMBER(C211),ISNUMBER(D211),C211&gt;=0.2,C211&lt;=0.8),D211,"")</f>
        <v/>
      </c>
      <c r="F211" s="5">
        <f>IF(ISNUMBER(E211),A211,"")</f>
        <v/>
      </c>
      <c r="G211" s="5">
        <f>IF(AND(ISNUMBER(E211),ISNUMBER($K$4)),E211-($K$7+$K$4*A211),"")</f>
        <v/>
      </c>
    </row>
    <row r="212">
      <c r="A212" s="4" t="n"/>
      <c r="B212" s="4" t="n"/>
      <c r="C212" s="5">
        <f>IF(AND(ISNUMBER(A212),ISNUMBER(B212),ISNUMBER($K$2),ISNUMBER($K$3),$K$3&gt;$K$2),(B212-$K$2)/($K$3-$K$2),"")</f>
        <v/>
      </c>
      <c r="D212" s="5">
        <f>IF(ISNUMBER(C212),IF(B212&lt;$K$3,LN(($K$3-$K$2)/($K$3-B212)),""),"")</f>
        <v/>
      </c>
      <c r="E212" s="5">
        <f>IF(AND(ISNUMBER(C212),ISNUMBER(D212),C212&gt;=0.2,C212&lt;=0.8),D212,"")</f>
        <v/>
      </c>
      <c r="F212" s="5">
        <f>IF(ISNUMBER(E212),A212,"")</f>
        <v/>
      </c>
      <c r="G212" s="5">
        <f>IF(AND(ISNUMBER(E212),ISNUMBER($K$4)),E212-($K$7+$K$4*A212),"")</f>
        <v/>
      </c>
    </row>
    <row r="213">
      <c r="A213" s="4" t="n"/>
      <c r="B213" s="4" t="n"/>
      <c r="C213" s="5">
        <f>IF(AND(ISNUMBER(A213),ISNUMBER(B213),ISNUMBER($K$2),ISNUMBER($K$3),$K$3&gt;$K$2),(B213-$K$2)/($K$3-$K$2),"")</f>
        <v/>
      </c>
      <c r="D213" s="5">
        <f>IF(ISNUMBER(C213),IF(B213&lt;$K$3,LN(($K$3-$K$2)/($K$3-B213)),""),"")</f>
        <v/>
      </c>
      <c r="E213" s="5">
        <f>IF(AND(ISNUMBER(C213),ISNUMBER(D213),C213&gt;=0.2,C213&lt;=0.8),D213,"")</f>
        <v/>
      </c>
      <c r="F213" s="5">
        <f>IF(ISNUMBER(E213),A213,"")</f>
        <v/>
      </c>
      <c r="G213" s="5">
        <f>IF(AND(ISNUMBER(E213),ISNUMBER($K$4)),E213-($K$7+$K$4*A213),"")</f>
        <v/>
      </c>
    </row>
    <row r="214">
      <c r="A214" s="4" t="n"/>
      <c r="B214" s="4" t="n"/>
      <c r="C214" s="5">
        <f>IF(AND(ISNUMBER(A214),ISNUMBER(B214),ISNUMBER($K$2),ISNUMBER($K$3),$K$3&gt;$K$2),(B214-$K$2)/($K$3-$K$2),"")</f>
        <v/>
      </c>
      <c r="D214" s="5">
        <f>IF(ISNUMBER(C214),IF(B214&lt;$K$3,LN(($K$3-$K$2)/($K$3-B214)),""),"")</f>
        <v/>
      </c>
      <c r="E214" s="5">
        <f>IF(AND(ISNUMBER(C214),ISNUMBER(D214),C214&gt;=0.2,C214&lt;=0.8),D214,"")</f>
        <v/>
      </c>
      <c r="F214" s="5">
        <f>IF(ISNUMBER(E214),A214,"")</f>
        <v/>
      </c>
      <c r="G214" s="5">
        <f>IF(AND(ISNUMBER(E214),ISNUMBER($K$4)),E214-($K$7+$K$4*A214),"")</f>
        <v/>
      </c>
    </row>
    <row r="215">
      <c r="A215" s="4" t="n"/>
      <c r="B215" s="4" t="n"/>
      <c r="C215" s="5">
        <f>IF(AND(ISNUMBER(A215),ISNUMBER(B215),ISNUMBER($K$2),ISNUMBER($K$3),$K$3&gt;$K$2),(B215-$K$2)/($K$3-$K$2),"")</f>
        <v/>
      </c>
      <c r="D215" s="5">
        <f>IF(ISNUMBER(C215),IF(B215&lt;$K$3,LN(($K$3-$K$2)/($K$3-B215)),""),"")</f>
        <v/>
      </c>
      <c r="E215" s="5">
        <f>IF(AND(ISNUMBER(C215),ISNUMBER(D215),C215&gt;=0.2,C215&lt;=0.8),D215,"")</f>
        <v/>
      </c>
      <c r="F215" s="5">
        <f>IF(ISNUMBER(E215),A215,"")</f>
        <v/>
      </c>
      <c r="G215" s="5">
        <f>IF(AND(ISNUMBER(E215),ISNUMBER($K$4)),E215-($K$7+$K$4*A215),"")</f>
        <v/>
      </c>
    </row>
    <row r="216">
      <c r="A216" s="4" t="n"/>
      <c r="B216" s="4" t="n"/>
      <c r="C216" s="5">
        <f>IF(AND(ISNUMBER(A216),ISNUMBER(B216),ISNUMBER($K$2),ISNUMBER($K$3),$K$3&gt;$K$2),(B216-$K$2)/($K$3-$K$2),"")</f>
        <v/>
      </c>
      <c r="D216" s="5">
        <f>IF(ISNUMBER(C216),IF(B216&lt;$K$3,LN(($K$3-$K$2)/($K$3-B216)),""),"")</f>
        <v/>
      </c>
      <c r="E216" s="5">
        <f>IF(AND(ISNUMBER(C216),ISNUMBER(D216),C216&gt;=0.2,C216&lt;=0.8),D216,"")</f>
        <v/>
      </c>
      <c r="F216" s="5">
        <f>IF(ISNUMBER(E216),A216,"")</f>
        <v/>
      </c>
      <c r="G216" s="5">
        <f>IF(AND(ISNUMBER(E216),ISNUMBER($K$4)),E216-($K$7+$K$4*A216),"")</f>
        <v/>
      </c>
    </row>
    <row r="217">
      <c r="A217" s="4" t="n"/>
      <c r="B217" s="4" t="n"/>
      <c r="C217" s="5">
        <f>IF(AND(ISNUMBER(A217),ISNUMBER(B217),ISNUMBER($K$2),ISNUMBER($K$3),$K$3&gt;$K$2),(B217-$K$2)/($K$3-$K$2),"")</f>
        <v/>
      </c>
      <c r="D217" s="5">
        <f>IF(ISNUMBER(C217),IF(B217&lt;$K$3,LN(($K$3-$K$2)/($K$3-B217)),""),"")</f>
        <v/>
      </c>
      <c r="E217" s="5">
        <f>IF(AND(ISNUMBER(C217),ISNUMBER(D217),C217&gt;=0.2,C217&lt;=0.8),D217,"")</f>
        <v/>
      </c>
      <c r="F217" s="5">
        <f>IF(ISNUMBER(E217),A217,"")</f>
        <v/>
      </c>
      <c r="G217" s="5">
        <f>IF(AND(ISNUMBER(E217),ISNUMBER($K$4)),E217-($K$7+$K$4*A217),"")</f>
        <v/>
      </c>
    </row>
    <row r="218">
      <c r="A218" s="4" t="n"/>
      <c r="B218" s="4" t="n"/>
      <c r="C218" s="5">
        <f>IF(AND(ISNUMBER(A218),ISNUMBER(B218),ISNUMBER($K$2),ISNUMBER($K$3),$K$3&gt;$K$2),(B218-$K$2)/($K$3-$K$2),"")</f>
        <v/>
      </c>
      <c r="D218" s="5">
        <f>IF(ISNUMBER(C218),IF(B218&lt;$K$3,LN(($K$3-$K$2)/($K$3-B218)),""),"")</f>
        <v/>
      </c>
      <c r="E218" s="5">
        <f>IF(AND(ISNUMBER(C218),ISNUMBER(D218),C218&gt;=0.2,C218&lt;=0.8),D218,"")</f>
        <v/>
      </c>
      <c r="F218" s="5">
        <f>IF(ISNUMBER(E218),A218,"")</f>
        <v/>
      </c>
      <c r="G218" s="5">
        <f>IF(AND(ISNUMBER(E218),ISNUMBER($K$4)),E218-($K$7+$K$4*A218),"")</f>
        <v/>
      </c>
    </row>
    <row r="219">
      <c r="A219" s="4" t="n"/>
      <c r="B219" s="4" t="n"/>
      <c r="C219" s="5">
        <f>IF(AND(ISNUMBER(A219),ISNUMBER(B219),ISNUMBER($K$2),ISNUMBER($K$3),$K$3&gt;$K$2),(B219-$K$2)/($K$3-$K$2),"")</f>
        <v/>
      </c>
      <c r="D219" s="5">
        <f>IF(ISNUMBER(C219),IF(B219&lt;$K$3,LN(($K$3-$K$2)/($K$3-B219)),""),"")</f>
        <v/>
      </c>
      <c r="E219" s="5">
        <f>IF(AND(ISNUMBER(C219),ISNUMBER(D219),C219&gt;=0.2,C219&lt;=0.8),D219,"")</f>
        <v/>
      </c>
      <c r="F219" s="5">
        <f>IF(ISNUMBER(E219),A219,"")</f>
        <v/>
      </c>
      <c r="G219" s="5">
        <f>IF(AND(ISNUMBER(E219),ISNUMBER($K$4)),E219-($K$7+$K$4*A219),"")</f>
        <v/>
      </c>
    </row>
    <row r="220">
      <c r="A220" s="4" t="n"/>
      <c r="B220" s="4" t="n"/>
      <c r="C220" s="5">
        <f>IF(AND(ISNUMBER(A220),ISNUMBER(B220),ISNUMBER($K$2),ISNUMBER($K$3),$K$3&gt;$K$2),(B220-$K$2)/($K$3-$K$2),"")</f>
        <v/>
      </c>
      <c r="D220" s="5">
        <f>IF(ISNUMBER(C220),IF(B220&lt;$K$3,LN(($K$3-$K$2)/($K$3-B220)),""),"")</f>
        <v/>
      </c>
      <c r="E220" s="5">
        <f>IF(AND(ISNUMBER(C220),ISNUMBER(D220),C220&gt;=0.2,C220&lt;=0.8),D220,"")</f>
        <v/>
      </c>
      <c r="F220" s="5">
        <f>IF(ISNUMBER(E220),A220,"")</f>
        <v/>
      </c>
      <c r="G220" s="5">
        <f>IF(AND(ISNUMBER(E220),ISNUMBER($K$4)),E220-($K$7+$K$4*A220),"")</f>
        <v/>
      </c>
    </row>
    <row r="221">
      <c r="A221" s="4" t="n"/>
      <c r="B221" s="4" t="n"/>
      <c r="C221" s="5">
        <f>IF(AND(ISNUMBER(A221),ISNUMBER(B221),ISNUMBER($K$2),ISNUMBER($K$3),$K$3&gt;$K$2),(B221-$K$2)/($K$3-$K$2),"")</f>
        <v/>
      </c>
      <c r="D221" s="5">
        <f>IF(ISNUMBER(C221),IF(B221&lt;$K$3,LN(($K$3-$K$2)/($K$3-B221)),""),"")</f>
        <v/>
      </c>
      <c r="E221" s="5">
        <f>IF(AND(ISNUMBER(C221),ISNUMBER(D221),C221&gt;=0.2,C221&lt;=0.8),D221,"")</f>
        <v/>
      </c>
      <c r="F221" s="5">
        <f>IF(ISNUMBER(E221),A221,"")</f>
        <v/>
      </c>
      <c r="G221" s="5">
        <f>IF(AND(ISNUMBER(E221),ISNUMBER($K$4)),E221-($K$7+$K$4*A221),"")</f>
        <v/>
      </c>
    </row>
    <row r="222">
      <c r="A222" s="4" t="n"/>
      <c r="B222" s="4" t="n"/>
      <c r="C222" s="5">
        <f>IF(AND(ISNUMBER(A222),ISNUMBER(B222),ISNUMBER($K$2),ISNUMBER($K$3),$K$3&gt;$K$2),(B222-$K$2)/($K$3-$K$2),"")</f>
        <v/>
      </c>
      <c r="D222" s="5">
        <f>IF(ISNUMBER(C222),IF(B222&lt;$K$3,LN(($K$3-$K$2)/($K$3-B222)),""),"")</f>
        <v/>
      </c>
      <c r="E222" s="5">
        <f>IF(AND(ISNUMBER(C222),ISNUMBER(D222),C222&gt;=0.2,C222&lt;=0.8),D222,"")</f>
        <v/>
      </c>
      <c r="F222" s="5">
        <f>IF(ISNUMBER(E222),A222,"")</f>
        <v/>
      </c>
      <c r="G222" s="5">
        <f>IF(AND(ISNUMBER(E222),ISNUMBER($K$4)),E222-($K$7+$K$4*A222),"")</f>
        <v/>
      </c>
    </row>
    <row r="223">
      <c r="A223" s="4" t="n"/>
      <c r="B223" s="4" t="n"/>
      <c r="C223" s="5">
        <f>IF(AND(ISNUMBER(A223),ISNUMBER(B223),ISNUMBER($K$2),ISNUMBER($K$3),$K$3&gt;$K$2),(B223-$K$2)/($K$3-$K$2),"")</f>
        <v/>
      </c>
      <c r="D223" s="5">
        <f>IF(ISNUMBER(C223),IF(B223&lt;$K$3,LN(($K$3-$K$2)/($K$3-B223)),""),"")</f>
        <v/>
      </c>
      <c r="E223" s="5">
        <f>IF(AND(ISNUMBER(C223),ISNUMBER(D223),C223&gt;=0.2,C223&lt;=0.8),D223,"")</f>
        <v/>
      </c>
      <c r="F223" s="5">
        <f>IF(ISNUMBER(E223),A223,"")</f>
        <v/>
      </c>
      <c r="G223" s="5">
        <f>IF(AND(ISNUMBER(E223),ISNUMBER($K$4)),E223-($K$7+$K$4*A223),"")</f>
        <v/>
      </c>
    </row>
    <row r="224">
      <c r="A224" s="4" t="n"/>
      <c r="B224" s="4" t="n"/>
      <c r="C224" s="5">
        <f>IF(AND(ISNUMBER(A224),ISNUMBER(B224),ISNUMBER($K$2),ISNUMBER($K$3),$K$3&gt;$K$2),(B224-$K$2)/($K$3-$K$2),"")</f>
        <v/>
      </c>
      <c r="D224" s="5">
        <f>IF(ISNUMBER(C224),IF(B224&lt;$K$3,LN(($K$3-$K$2)/($K$3-B224)),""),"")</f>
        <v/>
      </c>
      <c r="E224" s="5">
        <f>IF(AND(ISNUMBER(C224),ISNUMBER(D224),C224&gt;=0.2,C224&lt;=0.8),D224,"")</f>
        <v/>
      </c>
      <c r="F224" s="5">
        <f>IF(ISNUMBER(E224),A224,"")</f>
        <v/>
      </c>
      <c r="G224" s="5">
        <f>IF(AND(ISNUMBER(E224),ISNUMBER($K$4)),E224-($K$7+$K$4*A224),"")</f>
        <v/>
      </c>
    </row>
    <row r="225">
      <c r="A225" s="4" t="n"/>
      <c r="B225" s="4" t="n"/>
      <c r="C225" s="5">
        <f>IF(AND(ISNUMBER(A225),ISNUMBER(B225),ISNUMBER($K$2),ISNUMBER($K$3),$K$3&gt;$K$2),(B225-$K$2)/($K$3-$K$2),"")</f>
        <v/>
      </c>
      <c r="D225" s="5">
        <f>IF(ISNUMBER(C225),IF(B225&lt;$K$3,LN(($K$3-$K$2)/($K$3-B225)),""),"")</f>
        <v/>
      </c>
      <c r="E225" s="5">
        <f>IF(AND(ISNUMBER(C225),ISNUMBER(D225),C225&gt;=0.2,C225&lt;=0.8),D225,"")</f>
        <v/>
      </c>
      <c r="F225" s="5">
        <f>IF(ISNUMBER(E225),A225,"")</f>
        <v/>
      </c>
      <c r="G225" s="5">
        <f>IF(AND(ISNUMBER(E225),ISNUMBER($K$4)),E225-($K$7+$K$4*A225),"")</f>
        <v/>
      </c>
    </row>
    <row r="226">
      <c r="A226" s="4" t="n"/>
      <c r="B226" s="4" t="n"/>
      <c r="C226" s="5">
        <f>IF(AND(ISNUMBER(A226),ISNUMBER(B226),ISNUMBER($K$2),ISNUMBER($K$3),$K$3&gt;$K$2),(B226-$K$2)/($K$3-$K$2),"")</f>
        <v/>
      </c>
      <c r="D226" s="5">
        <f>IF(ISNUMBER(C226),IF(B226&lt;$K$3,LN(($K$3-$K$2)/($K$3-B226)),""),"")</f>
        <v/>
      </c>
      <c r="E226" s="5">
        <f>IF(AND(ISNUMBER(C226),ISNUMBER(D226),C226&gt;=0.2,C226&lt;=0.8),D226,"")</f>
        <v/>
      </c>
      <c r="F226" s="5">
        <f>IF(ISNUMBER(E226),A226,"")</f>
        <v/>
      </c>
      <c r="G226" s="5">
        <f>IF(AND(ISNUMBER(E226),ISNUMBER($K$4)),E226-($K$7+$K$4*A226),"")</f>
        <v/>
      </c>
    </row>
    <row r="227">
      <c r="A227" s="4" t="n"/>
      <c r="B227" s="4" t="n"/>
      <c r="C227" s="5">
        <f>IF(AND(ISNUMBER(A227),ISNUMBER(B227),ISNUMBER($K$2),ISNUMBER($K$3),$K$3&gt;$K$2),(B227-$K$2)/($K$3-$K$2),"")</f>
        <v/>
      </c>
      <c r="D227" s="5">
        <f>IF(ISNUMBER(C227),IF(B227&lt;$K$3,LN(($K$3-$K$2)/($K$3-B227)),""),"")</f>
        <v/>
      </c>
      <c r="E227" s="5">
        <f>IF(AND(ISNUMBER(C227),ISNUMBER(D227),C227&gt;=0.2,C227&lt;=0.8),D227,"")</f>
        <v/>
      </c>
      <c r="F227" s="5">
        <f>IF(ISNUMBER(E227),A227,"")</f>
        <v/>
      </c>
      <c r="G227" s="5">
        <f>IF(AND(ISNUMBER(E227),ISNUMBER($K$4)),E227-($K$7+$K$4*A227),"")</f>
        <v/>
      </c>
    </row>
    <row r="228">
      <c r="A228" s="4" t="n"/>
      <c r="B228" s="4" t="n"/>
      <c r="C228" s="5">
        <f>IF(AND(ISNUMBER(A228),ISNUMBER(B228),ISNUMBER($K$2),ISNUMBER($K$3),$K$3&gt;$K$2),(B228-$K$2)/($K$3-$K$2),"")</f>
        <v/>
      </c>
      <c r="D228" s="5">
        <f>IF(ISNUMBER(C228),IF(B228&lt;$K$3,LN(($K$3-$K$2)/($K$3-B228)),""),"")</f>
        <v/>
      </c>
      <c r="E228" s="5">
        <f>IF(AND(ISNUMBER(C228),ISNUMBER(D228),C228&gt;=0.2,C228&lt;=0.8),D228,"")</f>
        <v/>
      </c>
      <c r="F228" s="5">
        <f>IF(ISNUMBER(E228),A228,"")</f>
        <v/>
      </c>
      <c r="G228" s="5">
        <f>IF(AND(ISNUMBER(E228),ISNUMBER($K$4)),E228-($K$7+$K$4*A228),"")</f>
        <v/>
      </c>
    </row>
    <row r="229">
      <c r="A229" s="4" t="n"/>
      <c r="B229" s="4" t="n"/>
      <c r="C229" s="5">
        <f>IF(AND(ISNUMBER(A229),ISNUMBER(B229),ISNUMBER($K$2),ISNUMBER($K$3),$K$3&gt;$K$2),(B229-$K$2)/($K$3-$K$2),"")</f>
        <v/>
      </c>
      <c r="D229" s="5">
        <f>IF(ISNUMBER(C229),IF(B229&lt;$K$3,LN(($K$3-$K$2)/($K$3-B229)),""),"")</f>
        <v/>
      </c>
      <c r="E229" s="5">
        <f>IF(AND(ISNUMBER(C229),ISNUMBER(D229),C229&gt;=0.2,C229&lt;=0.8),D229,"")</f>
        <v/>
      </c>
      <c r="F229" s="5">
        <f>IF(ISNUMBER(E229),A229,"")</f>
        <v/>
      </c>
      <c r="G229" s="5">
        <f>IF(AND(ISNUMBER(E229),ISNUMBER($K$4)),E229-($K$7+$K$4*A229),"")</f>
        <v/>
      </c>
    </row>
    <row r="230">
      <c r="A230" s="4" t="n"/>
      <c r="B230" s="4" t="n"/>
      <c r="C230" s="5">
        <f>IF(AND(ISNUMBER(A230),ISNUMBER(B230),ISNUMBER($K$2),ISNUMBER($K$3),$K$3&gt;$K$2),(B230-$K$2)/($K$3-$K$2),"")</f>
        <v/>
      </c>
      <c r="D230" s="5">
        <f>IF(ISNUMBER(C230),IF(B230&lt;$K$3,LN(($K$3-$K$2)/($K$3-B230)),""),"")</f>
        <v/>
      </c>
      <c r="E230" s="5">
        <f>IF(AND(ISNUMBER(C230),ISNUMBER(D230),C230&gt;=0.2,C230&lt;=0.8),D230,"")</f>
        <v/>
      </c>
      <c r="F230" s="5">
        <f>IF(ISNUMBER(E230),A230,"")</f>
        <v/>
      </c>
      <c r="G230" s="5">
        <f>IF(AND(ISNUMBER(E230),ISNUMBER($K$4)),E230-($K$7+$K$4*A230),"")</f>
        <v/>
      </c>
    </row>
    <row r="231">
      <c r="A231" s="4" t="n"/>
      <c r="B231" s="4" t="n"/>
      <c r="C231" s="5">
        <f>IF(AND(ISNUMBER(A231),ISNUMBER(B231),ISNUMBER($K$2),ISNUMBER($K$3),$K$3&gt;$K$2),(B231-$K$2)/($K$3-$K$2),"")</f>
        <v/>
      </c>
      <c r="D231" s="5">
        <f>IF(ISNUMBER(C231),IF(B231&lt;$K$3,LN(($K$3-$K$2)/($K$3-B231)),""),"")</f>
        <v/>
      </c>
      <c r="E231" s="5">
        <f>IF(AND(ISNUMBER(C231),ISNUMBER(D231),C231&gt;=0.2,C231&lt;=0.8),D231,"")</f>
        <v/>
      </c>
      <c r="F231" s="5">
        <f>IF(ISNUMBER(E231),A231,"")</f>
        <v/>
      </c>
      <c r="G231" s="5">
        <f>IF(AND(ISNUMBER(E231),ISNUMBER($K$4)),E231-($K$7+$K$4*A231),"")</f>
        <v/>
      </c>
    </row>
    <row r="232">
      <c r="A232" s="4" t="n"/>
      <c r="B232" s="4" t="n"/>
      <c r="C232" s="5">
        <f>IF(AND(ISNUMBER(A232),ISNUMBER(B232),ISNUMBER($K$2),ISNUMBER($K$3),$K$3&gt;$K$2),(B232-$K$2)/($K$3-$K$2),"")</f>
        <v/>
      </c>
      <c r="D232" s="5">
        <f>IF(ISNUMBER(C232),IF(B232&lt;$K$3,LN(($K$3-$K$2)/($K$3-B232)),""),"")</f>
        <v/>
      </c>
      <c r="E232" s="5">
        <f>IF(AND(ISNUMBER(C232),ISNUMBER(D232),C232&gt;=0.2,C232&lt;=0.8),D232,"")</f>
        <v/>
      </c>
      <c r="F232" s="5">
        <f>IF(ISNUMBER(E232),A232,"")</f>
        <v/>
      </c>
      <c r="G232" s="5">
        <f>IF(AND(ISNUMBER(E232),ISNUMBER($K$4)),E232-($K$7+$K$4*A232),"")</f>
        <v/>
      </c>
    </row>
    <row r="233">
      <c r="A233" s="4" t="n"/>
      <c r="B233" s="4" t="n"/>
      <c r="C233" s="5">
        <f>IF(AND(ISNUMBER(A233),ISNUMBER(B233),ISNUMBER($K$2),ISNUMBER($K$3),$K$3&gt;$K$2),(B233-$K$2)/($K$3-$K$2),"")</f>
        <v/>
      </c>
      <c r="D233" s="5">
        <f>IF(ISNUMBER(C233),IF(B233&lt;$K$3,LN(($K$3-$K$2)/($K$3-B233)),""),"")</f>
        <v/>
      </c>
      <c r="E233" s="5">
        <f>IF(AND(ISNUMBER(C233),ISNUMBER(D233),C233&gt;=0.2,C233&lt;=0.8),D233,"")</f>
        <v/>
      </c>
      <c r="F233" s="5">
        <f>IF(ISNUMBER(E233),A233,"")</f>
        <v/>
      </c>
      <c r="G233" s="5">
        <f>IF(AND(ISNUMBER(E233),ISNUMBER($K$4)),E233-($K$7+$K$4*A233),"")</f>
        <v/>
      </c>
    </row>
    <row r="234">
      <c r="A234" s="4" t="n"/>
      <c r="B234" s="4" t="n"/>
      <c r="C234" s="5">
        <f>IF(AND(ISNUMBER(A234),ISNUMBER(B234),ISNUMBER($K$2),ISNUMBER($K$3),$K$3&gt;$K$2),(B234-$K$2)/($K$3-$K$2),"")</f>
        <v/>
      </c>
      <c r="D234" s="5">
        <f>IF(ISNUMBER(C234),IF(B234&lt;$K$3,LN(($K$3-$K$2)/($K$3-B234)),""),"")</f>
        <v/>
      </c>
      <c r="E234" s="5">
        <f>IF(AND(ISNUMBER(C234),ISNUMBER(D234),C234&gt;=0.2,C234&lt;=0.8),D234,"")</f>
        <v/>
      </c>
      <c r="F234" s="5">
        <f>IF(ISNUMBER(E234),A234,"")</f>
        <v/>
      </c>
      <c r="G234" s="5">
        <f>IF(AND(ISNUMBER(E234),ISNUMBER($K$4)),E234-($K$7+$K$4*A234),"")</f>
        <v/>
      </c>
    </row>
    <row r="235">
      <c r="A235" s="4" t="n"/>
      <c r="B235" s="4" t="n"/>
      <c r="C235" s="5">
        <f>IF(AND(ISNUMBER(A235),ISNUMBER(B235),ISNUMBER($K$2),ISNUMBER($K$3),$K$3&gt;$K$2),(B235-$K$2)/($K$3-$K$2),"")</f>
        <v/>
      </c>
      <c r="D235" s="5">
        <f>IF(ISNUMBER(C235),IF(B235&lt;$K$3,LN(($K$3-$K$2)/($K$3-B235)),""),"")</f>
        <v/>
      </c>
      <c r="E235" s="5">
        <f>IF(AND(ISNUMBER(C235),ISNUMBER(D235),C235&gt;=0.2,C235&lt;=0.8),D235,"")</f>
        <v/>
      </c>
      <c r="F235" s="5">
        <f>IF(ISNUMBER(E235),A235,"")</f>
        <v/>
      </c>
      <c r="G235" s="5">
        <f>IF(AND(ISNUMBER(E235),ISNUMBER($K$4)),E235-($K$7+$K$4*A235),"")</f>
        <v/>
      </c>
    </row>
    <row r="236">
      <c r="A236" s="4" t="n"/>
      <c r="B236" s="4" t="n"/>
      <c r="C236" s="5">
        <f>IF(AND(ISNUMBER(A236),ISNUMBER(B236),ISNUMBER($K$2),ISNUMBER($K$3),$K$3&gt;$K$2),(B236-$K$2)/($K$3-$K$2),"")</f>
        <v/>
      </c>
      <c r="D236" s="5">
        <f>IF(ISNUMBER(C236),IF(B236&lt;$K$3,LN(($K$3-$K$2)/($K$3-B236)),""),"")</f>
        <v/>
      </c>
      <c r="E236" s="5">
        <f>IF(AND(ISNUMBER(C236),ISNUMBER(D236),C236&gt;=0.2,C236&lt;=0.8),D236,"")</f>
        <v/>
      </c>
      <c r="F236" s="5">
        <f>IF(ISNUMBER(E236),A236,"")</f>
        <v/>
      </c>
      <c r="G236" s="5">
        <f>IF(AND(ISNUMBER(E236),ISNUMBER($K$4)),E236-($K$7+$K$4*A236),"")</f>
        <v/>
      </c>
    </row>
    <row r="237">
      <c r="A237" s="4" t="n"/>
      <c r="B237" s="4" t="n"/>
      <c r="C237" s="5">
        <f>IF(AND(ISNUMBER(A237),ISNUMBER(B237),ISNUMBER($K$2),ISNUMBER($K$3),$K$3&gt;$K$2),(B237-$K$2)/($K$3-$K$2),"")</f>
        <v/>
      </c>
      <c r="D237" s="5">
        <f>IF(ISNUMBER(C237),IF(B237&lt;$K$3,LN(($K$3-$K$2)/($K$3-B237)),""),"")</f>
        <v/>
      </c>
      <c r="E237" s="5">
        <f>IF(AND(ISNUMBER(C237),ISNUMBER(D237),C237&gt;=0.2,C237&lt;=0.8),D237,"")</f>
        <v/>
      </c>
      <c r="F237" s="5">
        <f>IF(ISNUMBER(E237),A237,"")</f>
        <v/>
      </c>
      <c r="G237" s="5">
        <f>IF(AND(ISNUMBER(E237),ISNUMBER($K$4)),E237-($K$7+$K$4*A237),"")</f>
        <v/>
      </c>
    </row>
    <row r="238">
      <c r="A238" s="4" t="n"/>
      <c r="B238" s="4" t="n"/>
      <c r="C238" s="5">
        <f>IF(AND(ISNUMBER(A238),ISNUMBER(B238),ISNUMBER($K$2),ISNUMBER($K$3),$K$3&gt;$K$2),(B238-$K$2)/($K$3-$K$2),"")</f>
        <v/>
      </c>
      <c r="D238" s="5">
        <f>IF(ISNUMBER(C238),IF(B238&lt;$K$3,LN(($K$3-$K$2)/($K$3-B238)),""),"")</f>
        <v/>
      </c>
      <c r="E238" s="5">
        <f>IF(AND(ISNUMBER(C238),ISNUMBER(D238),C238&gt;=0.2,C238&lt;=0.8),D238,"")</f>
        <v/>
      </c>
      <c r="F238" s="5">
        <f>IF(ISNUMBER(E238),A238,"")</f>
        <v/>
      </c>
      <c r="G238" s="5">
        <f>IF(AND(ISNUMBER(E238),ISNUMBER($K$4)),E238-($K$7+$K$4*A238),"")</f>
        <v/>
      </c>
    </row>
    <row r="239">
      <c r="A239" s="4" t="n"/>
      <c r="B239" s="4" t="n"/>
      <c r="C239" s="5">
        <f>IF(AND(ISNUMBER(A239),ISNUMBER(B239),ISNUMBER($K$2),ISNUMBER($K$3),$K$3&gt;$K$2),(B239-$K$2)/($K$3-$K$2),"")</f>
        <v/>
      </c>
      <c r="D239" s="5">
        <f>IF(ISNUMBER(C239),IF(B239&lt;$K$3,LN(($K$3-$K$2)/($K$3-B239)),""),"")</f>
        <v/>
      </c>
      <c r="E239" s="5">
        <f>IF(AND(ISNUMBER(C239),ISNUMBER(D239),C239&gt;=0.2,C239&lt;=0.8),D239,"")</f>
        <v/>
      </c>
      <c r="F239" s="5">
        <f>IF(ISNUMBER(E239),A239,"")</f>
        <v/>
      </c>
      <c r="G239" s="5">
        <f>IF(AND(ISNUMBER(E239),ISNUMBER($K$4)),E239-($K$7+$K$4*A239),"")</f>
        <v/>
      </c>
    </row>
    <row r="240">
      <c r="A240" s="4" t="n"/>
      <c r="B240" s="4" t="n"/>
      <c r="C240" s="5">
        <f>IF(AND(ISNUMBER(A240),ISNUMBER(B240),ISNUMBER($K$2),ISNUMBER($K$3),$K$3&gt;$K$2),(B240-$K$2)/($K$3-$K$2),"")</f>
        <v/>
      </c>
      <c r="D240" s="5">
        <f>IF(ISNUMBER(C240),IF(B240&lt;$K$3,LN(($K$3-$K$2)/($K$3-B240)),""),"")</f>
        <v/>
      </c>
      <c r="E240" s="5">
        <f>IF(AND(ISNUMBER(C240),ISNUMBER(D240),C240&gt;=0.2,C240&lt;=0.8),D240,"")</f>
        <v/>
      </c>
      <c r="F240" s="5">
        <f>IF(ISNUMBER(E240),A240,"")</f>
        <v/>
      </c>
      <c r="G240" s="5">
        <f>IF(AND(ISNUMBER(E240),ISNUMBER($K$4)),E240-($K$7+$K$4*A240),"")</f>
        <v/>
      </c>
    </row>
    <row r="241">
      <c r="A241" s="4" t="n"/>
      <c r="B241" s="4" t="n"/>
      <c r="C241" s="5">
        <f>IF(AND(ISNUMBER(A241),ISNUMBER(B241),ISNUMBER($K$2),ISNUMBER($K$3),$K$3&gt;$K$2),(B241-$K$2)/($K$3-$K$2),"")</f>
        <v/>
      </c>
      <c r="D241" s="5">
        <f>IF(ISNUMBER(C241),IF(B241&lt;$K$3,LN(($K$3-$K$2)/($K$3-B241)),""),"")</f>
        <v/>
      </c>
      <c r="E241" s="5">
        <f>IF(AND(ISNUMBER(C241),ISNUMBER(D241),C241&gt;=0.2,C241&lt;=0.8),D241,"")</f>
        <v/>
      </c>
      <c r="F241" s="5">
        <f>IF(ISNUMBER(E241),A241,"")</f>
        <v/>
      </c>
      <c r="G241" s="5">
        <f>IF(AND(ISNUMBER(E241),ISNUMBER($K$4)),E241-($K$7+$K$4*A241),"")</f>
        <v/>
      </c>
    </row>
    <row r="242">
      <c r="A242" s="4" t="n"/>
      <c r="B242" s="4" t="n"/>
      <c r="C242" s="5">
        <f>IF(AND(ISNUMBER(A242),ISNUMBER(B242),ISNUMBER($K$2),ISNUMBER($K$3),$K$3&gt;$K$2),(B242-$K$2)/($K$3-$K$2),"")</f>
        <v/>
      </c>
      <c r="D242" s="5">
        <f>IF(ISNUMBER(C242),IF(B242&lt;$K$3,LN(($K$3-$K$2)/($K$3-B242)),""),"")</f>
        <v/>
      </c>
      <c r="E242" s="5">
        <f>IF(AND(ISNUMBER(C242),ISNUMBER(D242),C242&gt;=0.2,C242&lt;=0.8),D242,"")</f>
        <v/>
      </c>
      <c r="F242" s="5">
        <f>IF(ISNUMBER(E242),A242,"")</f>
        <v/>
      </c>
      <c r="G242" s="5">
        <f>IF(AND(ISNUMBER(E242),ISNUMBER($K$4)),E242-($K$7+$K$4*A242),"")</f>
        <v/>
      </c>
    </row>
    <row r="243">
      <c r="A243" s="4" t="n"/>
      <c r="B243" s="4" t="n"/>
      <c r="C243" s="5">
        <f>IF(AND(ISNUMBER(A243),ISNUMBER(B243),ISNUMBER($K$2),ISNUMBER($K$3),$K$3&gt;$K$2),(B243-$K$2)/($K$3-$K$2),"")</f>
        <v/>
      </c>
      <c r="D243" s="5">
        <f>IF(ISNUMBER(C243),IF(B243&lt;$K$3,LN(($K$3-$K$2)/($K$3-B243)),""),"")</f>
        <v/>
      </c>
      <c r="E243" s="5">
        <f>IF(AND(ISNUMBER(C243),ISNUMBER(D243),C243&gt;=0.2,C243&lt;=0.8),D243,"")</f>
        <v/>
      </c>
      <c r="F243" s="5">
        <f>IF(ISNUMBER(E243),A243,"")</f>
        <v/>
      </c>
      <c r="G243" s="5">
        <f>IF(AND(ISNUMBER(E243),ISNUMBER($K$4)),E243-($K$7+$K$4*A243),"")</f>
        <v/>
      </c>
    </row>
    <row r="244">
      <c r="A244" s="4" t="n"/>
      <c r="B244" s="4" t="n"/>
      <c r="C244" s="5">
        <f>IF(AND(ISNUMBER(A244),ISNUMBER(B244),ISNUMBER($K$2),ISNUMBER($K$3),$K$3&gt;$K$2),(B244-$K$2)/($K$3-$K$2),"")</f>
        <v/>
      </c>
      <c r="D244" s="5">
        <f>IF(ISNUMBER(C244),IF(B244&lt;$K$3,LN(($K$3-$K$2)/($K$3-B244)),""),"")</f>
        <v/>
      </c>
      <c r="E244" s="5">
        <f>IF(AND(ISNUMBER(C244),ISNUMBER(D244),C244&gt;=0.2,C244&lt;=0.8),D244,"")</f>
        <v/>
      </c>
      <c r="F244" s="5">
        <f>IF(ISNUMBER(E244),A244,"")</f>
        <v/>
      </c>
      <c r="G244" s="5">
        <f>IF(AND(ISNUMBER(E244),ISNUMBER($K$4)),E244-($K$7+$K$4*A244),"")</f>
        <v/>
      </c>
    </row>
    <row r="245">
      <c r="A245" s="4" t="n"/>
      <c r="B245" s="4" t="n"/>
      <c r="C245" s="5">
        <f>IF(AND(ISNUMBER(A245),ISNUMBER(B245),ISNUMBER($K$2),ISNUMBER($K$3),$K$3&gt;$K$2),(B245-$K$2)/($K$3-$K$2),"")</f>
        <v/>
      </c>
      <c r="D245" s="5">
        <f>IF(ISNUMBER(C245),IF(B245&lt;$K$3,LN(($K$3-$K$2)/($K$3-B245)),""),"")</f>
        <v/>
      </c>
      <c r="E245" s="5">
        <f>IF(AND(ISNUMBER(C245),ISNUMBER(D245),C245&gt;=0.2,C245&lt;=0.8),D245,"")</f>
        <v/>
      </c>
      <c r="F245" s="5">
        <f>IF(ISNUMBER(E245),A245,"")</f>
        <v/>
      </c>
      <c r="G245" s="5">
        <f>IF(AND(ISNUMBER(E245),ISNUMBER($K$4)),E245-($K$7+$K$4*A245),"")</f>
        <v/>
      </c>
    </row>
    <row r="246">
      <c r="A246" s="4" t="n"/>
      <c r="B246" s="4" t="n"/>
      <c r="C246" s="5">
        <f>IF(AND(ISNUMBER(A246),ISNUMBER(B246),ISNUMBER($K$2),ISNUMBER($K$3),$K$3&gt;$K$2),(B246-$K$2)/($K$3-$K$2),"")</f>
        <v/>
      </c>
      <c r="D246" s="5">
        <f>IF(ISNUMBER(C246),IF(B246&lt;$K$3,LN(($K$3-$K$2)/($K$3-B246)),""),"")</f>
        <v/>
      </c>
      <c r="E246" s="5">
        <f>IF(AND(ISNUMBER(C246),ISNUMBER(D246),C246&gt;=0.2,C246&lt;=0.8),D246,"")</f>
        <v/>
      </c>
      <c r="F246" s="5">
        <f>IF(ISNUMBER(E246),A246,"")</f>
        <v/>
      </c>
      <c r="G246" s="5">
        <f>IF(AND(ISNUMBER(E246),ISNUMBER($K$4)),E246-($K$7+$K$4*A246),"")</f>
        <v/>
      </c>
    </row>
    <row r="247">
      <c r="A247" s="4" t="n"/>
      <c r="B247" s="4" t="n"/>
      <c r="C247" s="5">
        <f>IF(AND(ISNUMBER(A247),ISNUMBER(B247),ISNUMBER($K$2),ISNUMBER($K$3),$K$3&gt;$K$2),(B247-$K$2)/($K$3-$K$2),"")</f>
        <v/>
      </c>
      <c r="D247" s="5">
        <f>IF(ISNUMBER(C247),IF(B247&lt;$K$3,LN(($K$3-$K$2)/($K$3-B247)),""),"")</f>
        <v/>
      </c>
      <c r="E247" s="5">
        <f>IF(AND(ISNUMBER(C247),ISNUMBER(D247),C247&gt;=0.2,C247&lt;=0.8),D247,"")</f>
        <v/>
      </c>
      <c r="F247" s="5">
        <f>IF(ISNUMBER(E247),A247,"")</f>
        <v/>
      </c>
      <c r="G247" s="5">
        <f>IF(AND(ISNUMBER(E247),ISNUMBER($K$4)),E247-($K$7+$K$4*A247),"")</f>
        <v/>
      </c>
    </row>
    <row r="248">
      <c r="A248" s="4" t="n"/>
      <c r="B248" s="4" t="n"/>
      <c r="C248" s="5">
        <f>IF(AND(ISNUMBER(A248),ISNUMBER(B248),ISNUMBER($K$2),ISNUMBER($K$3),$K$3&gt;$K$2),(B248-$K$2)/($K$3-$K$2),"")</f>
        <v/>
      </c>
      <c r="D248" s="5">
        <f>IF(ISNUMBER(C248),IF(B248&lt;$K$3,LN(($K$3-$K$2)/($K$3-B248)),""),"")</f>
        <v/>
      </c>
      <c r="E248" s="5">
        <f>IF(AND(ISNUMBER(C248),ISNUMBER(D248),C248&gt;=0.2,C248&lt;=0.8),D248,"")</f>
        <v/>
      </c>
      <c r="F248" s="5">
        <f>IF(ISNUMBER(E248),A248,"")</f>
        <v/>
      </c>
      <c r="G248" s="5">
        <f>IF(AND(ISNUMBER(E248),ISNUMBER($K$4)),E248-($K$7+$K$4*A248),"")</f>
        <v/>
      </c>
    </row>
    <row r="249">
      <c r="A249" s="4" t="n"/>
      <c r="B249" s="4" t="n"/>
      <c r="C249" s="5">
        <f>IF(AND(ISNUMBER(A249),ISNUMBER(B249),ISNUMBER($K$2),ISNUMBER($K$3),$K$3&gt;$K$2),(B249-$K$2)/($K$3-$K$2),"")</f>
        <v/>
      </c>
      <c r="D249" s="5">
        <f>IF(ISNUMBER(C249),IF(B249&lt;$K$3,LN(($K$3-$K$2)/($K$3-B249)),""),"")</f>
        <v/>
      </c>
      <c r="E249" s="5">
        <f>IF(AND(ISNUMBER(C249),ISNUMBER(D249),C249&gt;=0.2,C249&lt;=0.8),D249,"")</f>
        <v/>
      </c>
      <c r="F249" s="5">
        <f>IF(ISNUMBER(E249),A249,"")</f>
        <v/>
      </c>
      <c r="G249" s="5">
        <f>IF(AND(ISNUMBER(E249),ISNUMBER($K$4)),E249-($K$7+$K$4*A249),"")</f>
        <v/>
      </c>
    </row>
    <row r="250">
      <c r="A250" s="4" t="n"/>
      <c r="B250" s="4" t="n"/>
      <c r="C250" s="5">
        <f>IF(AND(ISNUMBER(A250),ISNUMBER(B250),ISNUMBER($K$2),ISNUMBER($K$3),$K$3&gt;$K$2),(B250-$K$2)/($K$3-$K$2),"")</f>
        <v/>
      </c>
      <c r="D250" s="5">
        <f>IF(ISNUMBER(C250),IF(B250&lt;$K$3,LN(($K$3-$K$2)/($K$3-B250)),""),"")</f>
        <v/>
      </c>
      <c r="E250" s="5">
        <f>IF(AND(ISNUMBER(C250),ISNUMBER(D250),C250&gt;=0.2,C250&lt;=0.8),D250,"")</f>
        <v/>
      </c>
      <c r="F250" s="5">
        <f>IF(ISNUMBER(E250),A250,"")</f>
        <v/>
      </c>
      <c r="G250" s="5">
        <f>IF(AND(ISNUMBER(E250),ISNUMBER($K$4)),E250-($K$7+$K$4*A250),"")</f>
        <v/>
      </c>
    </row>
    <row r="251">
      <c r="A251" s="4" t="n"/>
      <c r="B251" s="4" t="n"/>
      <c r="C251" s="5">
        <f>IF(AND(ISNUMBER(A251),ISNUMBER(B251),ISNUMBER($K$2),ISNUMBER($K$3),$K$3&gt;$K$2),(B251-$K$2)/($K$3-$K$2),"")</f>
        <v/>
      </c>
      <c r="D251" s="5">
        <f>IF(ISNUMBER(C251),IF(B251&lt;$K$3,LN(($K$3-$K$2)/($K$3-B251)),""),"")</f>
        <v/>
      </c>
      <c r="E251" s="5">
        <f>IF(AND(ISNUMBER(C251),ISNUMBER(D251),C251&gt;=0.2,C251&lt;=0.8),D251,"")</f>
        <v/>
      </c>
      <c r="F251" s="5">
        <f>IF(ISNUMBER(E251),A251,"")</f>
        <v/>
      </c>
      <c r="G251" s="5">
        <f>IF(AND(ISNUMBER(E251),ISNUMBER($K$4)),E251-($K$7+$K$4*A251),"")</f>
        <v/>
      </c>
    </row>
    <row r="252">
      <c r="A252" s="4" t="n"/>
      <c r="B252" s="4" t="n"/>
      <c r="C252" s="5">
        <f>IF(AND(ISNUMBER(A252),ISNUMBER(B252),ISNUMBER($K$2),ISNUMBER($K$3),$K$3&gt;$K$2),(B252-$K$2)/($K$3-$K$2),"")</f>
        <v/>
      </c>
      <c r="D252" s="5">
        <f>IF(ISNUMBER(C252),IF(B252&lt;$K$3,LN(($K$3-$K$2)/($K$3-B252)),""),"")</f>
        <v/>
      </c>
      <c r="E252" s="5">
        <f>IF(AND(ISNUMBER(C252),ISNUMBER(D252),C252&gt;=0.2,C252&lt;=0.8),D252,"")</f>
        <v/>
      </c>
      <c r="F252" s="5">
        <f>IF(ISNUMBER(E252),A252,"")</f>
        <v/>
      </c>
      <c r="G252" s="5">
        <f>IF(AND(ISNUMBER(E252),ISNUMBER($K$4)),E252-($K$7+$K$4*A252),"")</f>
        <v/>
      </c>
    </row>
    <row r="253">
      <c r="A253" s="4" t="n"/>
      <c r="B253" s="4" t="n"/>
      <c r="C253" s="5">
        <f>IF(AND(ISNUMBER(A253),ISNUMBER(B253),ISNUMBER($K$2),ISNUMBER($K$3),$K$3&gt;$K$2),(B253-$K$2)/($K$3-$K$2),"")</f>
        <v/>
      </c>
      <c r="D253" s="5">
        <f>IF(ISNUMBER(C253),IF(B253&lt;$K$3,LN(($K$3-$K$2)/($K$3-B253)),""),"")</f>
        <v/>
      </c>
      <c r="E253" s="5">
        <f>IF(AND(ISNUMBER(C253),ISNUMBER(D253),C253&gt;=0.2,C253&lt;=0.8),D253,"")</f>
        <v/>
      </c>
      <c r="F253" s="5">
        <f>IF(ISNUMBER(E253),A253,"")</f>
        <v/>
      </c>
      <c r="G253" s="5">
        <f>IF(AND(ISNUMBER(E253),ISNUMBER($K$4)),E253-($K$7+$K$4*A253),"")</f>
        <v/>
      </c>
    </row>
    <row r="254">
      <c r="A254" s="4" t="n"/>
      <c r="B254" s="4" t="n"/>
      <c r="C254" s="5">
        <f>IF(AND(ISNUMBER(A254),ISNUMBER(B254),ISNUMBER($K$2),ISNUMBER($K$3),$K$3&gt;$K$2),(B254-$K$2)/($K$3-$K$2),"")</f>
        <v/>
      </c>
      <c r="D254" s="5">
        <f>IF(ISNUMBER(C254),IF(B254&lt;$K$3,LN(($K$3-$K$2)/($K$3-B254)),""),"")</f>
        <v/>
      </c>
      <c r="E254" s="5">
        <f>IF(AND(ISNUMBER(C254),ISNUMBER(D254),C254&gt;=0.2,C254&lt;=0.8),D254,"")</f>
        <v/>
      </c>
      <c r="F254" s="5">
        <f>IF(ISNUMBER(E254),A254,"")</f>
        <v/>
      </c>
      <c r="G254" s="5">
        <f>IF(AND(ISNUMBER(E254),ISNUMBER($K$4)),E254-($K$7+$K$4*A254),"")</f>
        <v/>
      </c>
    </row>
    <row r="255">
      <c r="A255" s="4" t="n"/>
      <c r="B255" s="4" t="n"/>
      <c r="C255" s="5">
        <f>IF(AND(ISNUMBER(A255),ISNUMBER(B255),ISNUMBER($K$2),ISNUMBER($K$3),$K$3&gt;$K$2),(B255-$K$2)/($K$3-$K$2),"")</f>
        <v/>
      </c>
      <c r="D255" s="5">
        <f>IF(ISNUMBER(C255),IF(B255&lt;$K$3,LN(($K$3-$K$2)/($K$3-B255)),""),"")</f>
        <v/>
      </c>
      <c r="E255" s="5">
        <f>IF(AND(ISNUMBER(C255),ISNUMBER(D255),C255&gt;=0.2,C255&lt;=0.8),D255,"")</f>
        <v/>
      </c>
      <c r="F255" s="5">
        <f>IF(ISNUMBER(E255),A255,"")</f>
        <v/>
      </c>
      <c r="G255" s="5">
        <f>IF(AND(ISNUMBER(E255),ISNUMBER($K$4)),E255-($K$7+$K$4*A255),"")</f>
        <v/>
      </c>
    </row>
    <row r="256">
      <c r="A256" s="4" t="n"/>
      <c r="B256" s="4" t="n"/>
      <c r="C256" s="5">
        <f>IF(AND(ISNUMBER(A256),ISNUMBER(B256),ISNUMBER($K$2),ISNUMBER($K$3),$K$3&gt;$K$2),(B256-$K$2)/($K$3-$K$2),"")</f>
        <v/>
      </c>
      <c r="D256" s="5">
        <f>IF(ISNUMBER(C256),IF(B256&lt;$K$3,LN(($K$3-$K$2)/($K$3-B256)),""),"")</f>
        <v/>
      </c>
      <c r="E256" s="5">
        <f>IF(AND(ISNUMBER(C256),ISNUMBER(D256),C256&gt;=0.2,C256&lt;=0.8),D256,"")</f>
        <v/>
      </c>
      <c r="F256" s="5">
        <f>IF(ISNUMBER(E256),A256,"")</f>
        <v/>
      </c>
      <c r="G256" s="5">
        <f>IF(AND(ISNUMBER(E256),ISNUMBER($K$4)),E256-($K$7+$K$4*A256),"")</f>
        <v/>
      </c>
    </row>
    <row r="257">
      <c r="A257" s="4" t="n"/>
      <c r="B257" s="4" t="n"/>
      <c r="C257" s="5">
        <f>IF(AND(ISNUMBER(A257),ISNUMBER(B257),ISNUMBER($K$2),ISNUMBER($K$3),$K$3&gt;$K$2),(B257-$K$2)/($K$3-$K$2),"")</f>
        <v/>
      </c>
      <c r="D257" s="5">
        <f>IF(ISNUMBER(C257),IF(B257&lt;$K$3,LN(($K$3-$K$2)/($K$3-B257)),""),"")</f>
        <v/>
      </c>
      <c r="E257" s="5">
        <f>IF(AND(ISNUMBER(C257),ISNUMBER(D257),C257&gt;=0.2,C257&lt;=0.8),D257,"")</f>
        <v/>
      </c>
      <c r="F257" s="5">
        <f>IF(ISNUMBER(E257),A257,"")</f>
        <v/>
      </c>
      <c r="G257" s="5">
        <f>IF(AND(ISNUMBER(E257),ISNUMBER($K$4)),E257-($K$7+$K$4*A257),"")</f>
        <v/>
      </c>
    </row>
    <row r="258">
      <c r="A258" s="4" t="n"/>
      <c r="B258" s="4" t="n"/>
      <c r="C258" s="5">
        <f>IF(AND(ISNUMBER(A258),ISNUMBER(B258),ISNUMBER($K$2),ISNUMBER($K$3),$K$3&gt;$K$2),(B258-$K$2)/($K$3-$K$2),"")</f>
        <v/>
      </c>
      <c r="D258" s="5">
        <f>IF(ISNUMBER(C258),IF(B258&lt;$K$3,LN(($K$3-$K$2)/($K$3-B258)),""),"")</f>
        <v/>
      </c>
      <c r="E258" s="5">
        <f>IF(AND(ISNUMBER(C258),ISNUMBER(D258),C258&gt;=0.2,C258&lt;=0.8),D258,"")</f>
        <v/>
      </c>
      <c r="F258" s="5">
        <f>IF(ISNUMBER(E258),A258,"")</f>
        <v/>
      </c>
      <c r="G258" s="5">
        <f>IF(AND(ISNUMBER(E258),ISNUMBER($K$4)),E258-($K$7+$K$4*A258),"")</f>
        <v/>
      </c>
    </row>
    <row r="259">
      <c r="A259" s="4" t="n"/>
      <c r="B259" s="4" t="n"/>
      <c r="C259" s="5">
        <f>IF(AND(ISNUMBER(A259),ISNUMBER(B259),ISNUMBER($K$2),ISNUMBER($K$3),$K$3&gt;$K$2),(B259-$K$2)/($K$3-$K$2),"")</f>
        <v/>
      </c>
      <c r="D259" s="5">
        <f>IF(ISNUMBER(C259),IF(B259&lt;$K$3,LN(($K$3-$K$2)/($K$3-B259)),""),"")</f>
        <v/>
      </c>
      <c r="E259" s="5">
        <f>IF(AND(ISNUMBER(C259),ISNUMBER(D259),C259&gt;=0.2,C259&lt;=0.8),D259,"")</f>
        <v/>
      </c>
      <c r="F259" s="5">
        <f>IF(ISNUMBER(E259),A259,"")</f>
        <v/>
      </c>
      <c r="G259" s="5">
        <f>IF(AND(ISNUMBER(E259),ISNUMBER($K$4)),E259-($K$7+$K$4*A259),"")</f>
        <v/>
      </c>
    </row>
    <row r="260">
      <c r="A260" s="4" t="n"/>
      <c r="B260" s="4" t="n"/>
      <c r="C260" s="5">
        <f>IF(AND(ISNUMBER(A260),ISNUMBER(B260),ISNUMBER($K$2),ISNUMBER($K$3),$K$3&gt;$K$2),(B260-$K$2)/($K$3-$K$2),"")</f>
        <v/>
      </c>
      <c r="D260" s="5">
        <f>IF(ISNUMBER(C260),IF(B260&lt;$K$3,LN(($K$3-$K$2)/($K$3-B260)),""),"")</f>
        <v/>
      </c>
      <c r="E260" s="5">
        <f>IF(AND(ISNUMBER(C260),ISNUMBER(D260),C260&gt;=0.2,C260&lt;=0.8),D260,"")</f>
        <v/>
      </c>
      <c r="F260" s="5">
        <f>IF(ISNUMBER(E260),A260,"")</f>
        <v/>
      </c>
      <c r="G260" s="5">
        <f>IF(AND(ISNUMBER(E260),ISNUMBER($K$4)),E260-($K$7+$K$4*A260),"")</f>
        <v/>
      </c>
    </row>
    <row r="261">
      <c r="A261" s="4" t="n"/>
      <c r="B261" s="4" t="n"/>
      <c r="C261" s="5">
        <f>IF(AND(ISNUMBER(A261),ISNUMBER(B261),ISNUMBER($K$2),ISNUMBER($K$3),$K$3&gt;$K$2),(B261-$K$2)/($K$3-$K$2),"")</f>
        <v/>
      </c>
      <c r="D261" s="5">
        <f>IF(ISNUMBER(C261),IF(B261&lt;$K$3,LN(($K$3-$K$2)/($K$3-B261)),""),"")</f>
        <v/>
      </c>
      <c r="E261" s="5">
        <f>IF(AND(ISNUMBER(C261),ISNUMBER(D261),C261&gt;=0.2,C261&lt;=0.8),D261,"")</f>
        <v/>
      </c>
      <c r="F261" s="5">
        <f>IF(ISNUMBER(E261),A261,"")</f>
        <v/>
      </c>
      <c r="G261" s="5">
        <f>IF(AND(ISNUMBER(E261),ISNUMBER($K$4)),E261-($K$7+$K$4*A261),"")</f>
        <v/>
      </c>
    </row>
    <row r="262">
      <c r="A262" s="4" t="n"/>
      <c r="B262" s="4" t="n"/>
      <c r="C262" s="5">
        <f>IF(AND(ISNUMBER(A262),ISNUMBER(B262),ISNUMBER($K$2),ISNUMBER($K$3),$K$3&gt;$K$2),(B262-$K$2)/($K$3-$K$2),"")</f>
        <v/>
      </c>
      <c r="D262" s="5">
        <f>IF(ISNUMBER(C262),IF(B262&lt;$K$3,LN(($K$3-$K$2)/($K$3-B262)),""),"")</f>
        <v/>
      </c>
      <c r="E262" s="5">
        <f>IF(AND(ISNUMBER(C262),ISNUMBER(D262),C262&gt;=0.2,C262&lt;=0.8),D262,"")</f>
        <v/>
      </c>
      <c r="F262" s="5">
        <f>IF(ISNUMBER(E262),A262,"")</f>
        <v/>
      </c>
      <c r="G262" s="5">
        <f>IF(AND(ISNUMBER(E262),ISNUMBER($K$4)),E262-($K$7+$K$4*A262),"")</f>
        <v/>
      </c>
    </row>
    <row r="263">
      <c r="A263" s="4" t="n"/>
      <c r="B263" s="4" t="n"/>
      <c r="C263" s="5">
        <f>IF(AND(ISNUMBER(A263),ISNUMBER(B263),ISNUMBER($K$2),ISNUMBER($K$3),$K$3&gt;$K$2),(B263-$K$2)/($K$3-$K$2),"")</f>
        <v/>
      </c>
      <c r="D263" s="5">
        <f>IF(ISNUMBER(C263),IF(B263&lt;$K$3,LN(($K$3-$K$2)/($K$3-B263)),""),"")</f>
        <v/>
      </c>
      <c r="E263" s="5">
        <f>IF(AND(ISNUMBER(C263),ISNUMBER(D263),C263&gt;=0.2,C263&lt;=0.8),D263,"")</f>
        <v/>
      </c>
      <c r="F263" s="5">
        <f>IF(ISNUMBER(E263),A263,"")</f>
        <v/>
      </c>
      <c r="G263" s="5">
        <f>IF(AND(ISNUMBER(E263),ISNUMBER($K$4)),E263-($K$7+$K$4*A263),"")</f>
        <v/>
      </c>
    </row>
    <row r="264">
      <c r="A264" s="4" t="n"/>
      <c r="B264" s="4" t="n"/>
      <c r="C264" s="5">
        <f>IF(AND(ISNUMBER(A264),ISNUMBER(B264),ISNUMBER($K$2),ISNUMBER($K$3),$K$3&gt;$K$2),(B264-$K$2)/($K$3-$K$2),"")</f>
        <v/>
      </c>
      <c r="D264" s="5">
        <f>IF(ISNUMBER(C264),IF(B264&lt;$K$3,LN(($K$3-$K$2)/($K$3-B264)),""),"")</f>
        <v/>
      </c>
      <c r="E264" s="5">
        <f>IF(AND(ISNUMBER(C264),ISNUMBER(D264),C264&gt;=0.2,C264&lt;=0.8),D264,"")</f>
        <v/>
      </c>
      <c r="F264" s="5">
        <f>IF(ISNUMBER(E264),A264,"")</f>
        <v/>
      </c>
      <c r="G264" s="5">
        <f>IF(AND(ISNUMBER(E264),ISNUMBER($K$4)),E264-($K$7+$K$4*A264),"")</f>
        <v/>
      </c>
    </row>
    <row r="265">
      <c r="A265" s="4" t="n"/>
      <c r="B265" s="4" t="n"/>
      <c r="C265" s="5">
        <f>IF(AND(ISNUMBER(A265),ISNUMBER(B265),ISNUMBER($K$2),ISNUMBER($K$3),$K$3&gt;$K$2),(B265-$K$2)/($K$3-$K$2),"")</f>
        <v/>
      </c>
      <c r="D265" s="5">
        <f>IF(ISNUMBER(C265),IF(B265&lt;$K$3,LN(($K$3-$K$2)/($K$3-B265)),""),"")</f>
        <v/>
      </c>
      <c r="E265" s="5">
        <f>IF(AND(ISNUMBER(C265),ISNUMBER(D265),C265&gt;=0.2,C265&lt;=0.8),D265,"")</f>
        <v/>
      </c>
      <c r="F265" s="5">
        <f>IF(ISNUMBER(E265),A265,"")</f>
        <v/>
      </c>
      <c r="G265" s="5">
        <f>IF(AND(ISNUMBER(E265),ISNUMBER($K$4)),E265-($K$7+$K$4*A265),"")</f>
        <v/>
      </c>
    </row>
    <row r="266">
      <c r="A266" s="4" t="n"/>
      <c r="B266" s="4" t="n"/>
      <c r="C266" s="5">
        <f>IF(AND(ISNUMBER(A266),ISNUMBER(B266),ISNUMBER($K$2),ISNUMBER($K$3),$K$3&gt;$K$2),(B266-$K$2)/($K$3-$K$2),"")</f>
        <v/>
      </c>
      <c r="D266" s="5">
        <f>IF(ISNUMBER(C266),IF(B266&lt;$K$3,LN(($K$3-$K$2)/($K$3-B266)),""),"")</f>
        <v/>
      </c>
      <c r="E266" s="5">
        <f>IF(AND(ISNUMBER(C266),ISNUMBER(D266),C266&gt;=0.2,C266&lt;=0.8),D266,"")</f>
        <v/>
      </c>
      <c r="F266" s="5">
        <f>IF(ISNUMBER(E266),A266,"")</f>
        <v/>
      </c>
      <c r="G266" s="5">
        <f>IF(AND(ISNUMBER(E266),ISNUMBER($K$4)),E266-($K$7+$K$4*A266),"")</f>
        <v/>
      </c>
    </row>
    <row r="267">
      <c r="A267" s="4" t="n"/>
      <c r="B267" s="4" t="n"/>
      <c r="C267" s="5">
        <f>IF(AND(ISNUMBER(A267),ISNUMBER(B267),ISNUMBER($K$2),ISNUMBER($K$3),$K$3&gt;$K$2),(B267-$K$2)/($K$3-$K$2),"")</f>
        <v/>
      </c>
      <c r="D267" s="5">
        <f>IF(ISNUMBER(C267),IF(B267&lt;$K$3,LN(($K$3-$K$2)/($K$3-B267)),""),"")</f>
        <v/>
      </c>
      <c r="E267" s="5">
        <f>IF(AND(ISNUMBER(C267),ISNUMBER(D267),C267&gt;=0.2,C267&lt;=0.8),D267,"")</f>
        <v/>
      </c>
      <c r="F267" s="5">
        <f>IF(ISNUMBER(E267),A267,"")</f>
        <v/>
      </c>
      <c r="G267" s="5">
        <f>IF(AND(ISNUMBER(E267),ISNUMBER($K$4)),E267-($K$7+$K$4*A267),"")</f>
        <v/>
      </c>
    </row>
    <row r="268">
      <c r="A268" s="4" t="n"/>
      <c r="B268" s="4" t="n"/>
      <c r="C268" s="5">
        <f>IF(AND(ISNUMBER(A268),ISNUMBER(B268),ISNUMBER($K$2),ISNUMBER($K$3),$K$3&gt;$K$2),(B268-$K$2)/($K$3-$K$2),"")</f>
        <v/>
      </c>
      <c r="D268" s="5">
        <f>IF(ISNUMBER(C268),IF(B268&lt;$K$3,LN(($K$3-$K$2)/($K$3-B268)),""),"")</f>
        <v/>
      </c>
      <c r="E268" s="5">
        <f>IF(AND(ISNUMBER(C268),ISNUMBER(D268),C268&gt;=0.2,C268&lt;=0.8),D268,"")</f>
        <v/>
      </c>
      <c r="F268" s="5">
        <f>IF(ISNUMBER(E268),A268,"")</f>
        <v/>
      </c>
      <c r="G268" s="5">
        <f>IF(AND(ISNUMBER(E268),ISNUMBER($K$4)),E268-($K$7+$K$4*A268),"")</f>
        <v/>
      </c>
    </row>
    <row r="269">
      <c r="A269" s="4" t="n"/>
      <c r="B269" s="4" t="n"/>
      <c r="C269" s="5">
        <f>IF(AND(ISNUMBER(A269),ISNUMBER(B269),ISNUMBER($K$2),ISNUMBER($K$3),$K$3&gt;$K$2),(B269-$K$2)/($K$3-$K$2),"")</f>
        <v/>
      </c>
      <c r="D269" s="5">
        <f>IF(ISNUMBER(C269),IF(B269&lt;$K$3,LN(($K$3-$K$2)/($K$3-B269)),""),"")</f>
        <v/>
      </c>
      <c r="E269" s="5">
        <f>IF(AND(ISNUMBER(C269),ISNUMBER(D269),C269&gt;=0.2,C269&lt;=0.8),D269,"")</f>
        <v/>
      </c>
      <c r="F269" s="5">
        <f>IF(ISNUMBER(E269),A269,"")</f>
        <v/>
      </c>
      <c r="G269" s="5">
        <f>IF(AND(ISNUMBER(E269),ISNUMBER($K$4)),E269-($K$7+$K$4*A269),"")</f>
        <v/>
      </c>
    </row>
    <row r="270">
      <c r="A270" s="4" t="n"/>
      <c r="B270" s="4" t="n"/>
      <c r="C270" s="5">
        <f>IF(AND(ISNUMBER(A270),ISNUMBER(B270),ISNUMBER($K$2),ISNUMBER($K$3),$K$3&gt;$K$2),(B270-$K$2)/($K$3-$K$2),"")</f>
        <v/>
      </c>
      <c r="D270" s="5">
        <f>IF(ISNUMBER(C270),IF(B270&lt;$K$3,LN(($K$3-$K$2)/($K$3-B270)),""),"")</f>
        <v/>
      </c>
      <c r="E270" s="5">
        <f>IF(AND(ISNUMBER(C270),ISNUMBER(D270),C270&gt;=0.2,C270&lt;=0.8),D270,"")</f>
        <v/>
      </c>
      <c r="F270" s="5">
        <f>IF(ISNUMBER(E270),A270,"")</f>
        <v/>
      </c>
      <c r="G270" s="5">
        <f>IF(AND(ISNUMBER(E270),ISNUMBER($K$4)),E270-($K$7+$K$4*A270),"")</f>
        <v/>
      </c>
    </row>
    <row r="271">
      <c r="A271" s="4" t="n"/>
      <c r="B271" s="4" t="n"/>
      <c r="C271" s="5">
        <f>IF(AND(ISNUMBER(A271),ISNUMBER(B271),ISNUMBER($K$2),ISNUMBER($K$3),$K$3&gt;$K$2),(B271-$K$2)/($K$3-$K$2),"")</f>
        <v/>
      </c>
      <c r="D271" s="5">
        <f>IF(ISNUMBER(C271),IF(B271&lt;$K$3,LN(($K$3-$K$2)/($K$3-B271)),""),"")</f>
        <v/>
      </c>
      <c r="E271" s="5">
        <f>IF(AND(ISNUMBER(C271),ISNUMBER(D271),C271&gt;=0.2,C271&lt;=0.8),D271,"")</f>
        <v/>
      </c>
      <c r="F271" s="5">
        <f>IF(ISNUMBER(E271),A271,"")</f>
        <v/>
      </c>
      <c r="G271" s="5">
        <f>IF(AND(ISNUMBER(E271),ISNUMBER($K$4)),E271-($K$7+$K$4*A271),"")</f>
        <v/>
      </c>
    </row>
    <row r="272">
      <c r="A272" s="4" t="n"/>
      <c r="B272" s="4" t="n"/>
      <c r="C272" s="5">
        <f>IF(AND(ISNUMBER(A272),ISNUMBER(B272),ISNUMBER($K$2),ISNUMBER($K$3),$K$3&gt;$K$2),(B272-$K$2)/($K$3-$K$2),"")</f>
        <v/>
      </c>
      <c r="D272" s="5">
        <f>IF(ISNUMBER(C272),IF(B272&lt;$K$3,LN(($K$3-$K$2)/($K$3-B272)),""),"")</f>
        <v/>
      </c>
      <c r="E272" s="5">
        <f>IF(AND(ISNUMBER(C272),ISNUMBER(D272),C272&gt;=0.2,C272&lt;=0.8),D272,"")</f>
        <v/>
      </c>
      <c r="F272" s="5">
        <f>IF(ISNUMBER(E272),A272,"")</f>
        <v/>
      </c>
      <c r="G272" s="5">
        <f>IF(AND(ISNUMBER(E272),ISNUMBER($K$4)),E272-($K$7+$K$4*A272),"")</f>
        <v/>
      </c>
    </row>
    <row r="273">
      <c r="A273" s="4" t="n"/>
      <c r="B273" s="4" t="n"/>
      <c r="C273" s="5">
        <f>IF(AND(ISNUMBER(A273),ISNUMBER(B273),ISNUMBER($K$2),ISNUMBER($K$3),$K$3&gt;$K$2),(B273-$K$2)/($K$3-$K$2),"")</f>
        <v/>
      </c>
      <c r="D273" s="5">
        <f>IF(ISNUMBER(C273),IF(B273&lt;$K$3,LN(($K$3-$K$2)/($K$3-B273)),""),"")</f>
        <v/>
      </c>
      <c r="E273" s="5">
        <f>IF(AND(ISNUMBER(C273),ISNUMBER(D273),C273&gt;=0.2,C273&lt;=0.8),D273,"")</f>
        <v/>
      </c>
      <c r="F273" s="5">
        <f>IF(ISNUMBER(E273),A273,"")</f>
        <v/>
      </c>
      <c r="G273" s="5">
        <f>IF(AND(ISNUMBER(E273),ISNUMBER($K$4)),E273-($K$7+$K$4*A273),"")</f>
        <v/>
      </c>
    </row>
    <row r="274">
      <c r="A274" s="4" t="n"/>
      <c r="B274" s="4" t="n"/>
      <c r="C274" s="5">
        <f>IF(AND(ISNUMBER(A274),ISNUMBER(B274),ISNUMBER($K$2),ISNUMBER($K$3),$K$3&gt;$K$2),(B274-$K$2)/($K$3-$K$2),"")</f>
        <v/>
      </c>
      <c r="D274" s="5">
        <f>IF(ISNUMBER(C274),IF(B274&lt;$K$3,LN(($K$3-$K$2)/($K$3-B274)),""),"")</f>
        <v/>
      </c>
      <c r="E274" s="5">
        <f>IF(AND(ISNUMBER(C274),ISNUMBER(D274),C274&gt;=0.2,C274&lt;=0.8),D274,"")</f>
        <v/>
      </c>
      <c r="F274" s="5">
        <f>IF(ISNUMBER(E274),A274,"")</f>
        <v/>
      </c>
      <c r="G274" s="5">
        <f>IF(AND(ISNUMBER(E274),ISNUMBER($K$4)),E274-($K$7+$K$4*A274),"")</f>
        <v/>
      </c>
    </row>
    <row r="275">
      <c r="A275" s="4" t="n"/>
      <c r="B275" s="4" t="n"/>
      <c r="C275" s="5">
        <f>IF(AND(ISNUMBER(A275),ISNUMBER(B275),ISNUMBER($K$2),ISNUMBER($K$3),$K$3&gt;$K$2),(B275-$K$2)/($K$3-$K$2),"")</f>
        <v/>
      </c>
      <c r="D275" s="5">
        <f>IF(ISNUMBER(C275),IF(B275&lt;$K$3,LN(($K$3-$K$2)/($K$3-B275)),""),"")</f>
        <v/>
      </c>
      <c r="E275" s="5">
        <f>IF(AND(ISNUMBER(C275),ISNUMBER(D275),C275&gt;=0.2,C275&lt;=0.8),D275,"")</f>
        <v/>
      </c>
      <c r="F275" s="5">
        <f>IF(ISNUMBER(E275),A275,"")</f>
        <v/>
      </c>
      <c r="G275" s="5">
        <f>IF(AND(ISNUMBER(E275),ISNUMBER($K$4)),E275-($K$7+$K$4*A275),"")</f>
        <v/>
      </c>
    </row>
    <row r="276">
      <c r="A276" s="4" t="n"/>
      <c r="B276" s="4" t="n"/>
      <c r="C276" s="5">
        <f>IF(AND(ISNUMBER(A276),ISNUMBER(B276),ISNUMBER($K$2),ISNUMBER($K$3),$K$3&gt;$K$2),(B276-$K$2)/($K$3-$K$2),"")</f>
        <v/>
      </c>
      <c r="D276" s="5">
        <f>IF(ISNUMBER(C276),IF(B276&lt;$K$3,LN(($K$3-$K$2)/($K$3-B276)),""),"")</f>
        <v/>
      </c>
      <c r="E276" s="5">
        <f>IF(AND(ISNUMBER(C276),ISNUMBER(D276),C276&gt;=0.2,C276&lt;=0.8),D276,"")</f>
        <v/>
      </c>
      <c r="F276" s="5">
        <f>IF(ISNUMBER(E276),A276,"")</f>
        <v/>
      </c>
      <c r="G276" s="5">
        <f>IF(AND(ISNUMBER(E276),ISNUMBER($K$4)),E276-($K$7+$K$4*A276),"")</f>
        <v/>
      </c>
    </row>
    <row r="277">
      <c r="A277" s="4" t="n"/>
      <c r="B277" s="4" t="n"/>
      <c r="C277" s="5">
        <f>IF(AND(ISNUMBER(A277),ISNUMBER(B277),ISNUMBER($K$2),ISNUMBER($K$3),$K$3&gt;$K$2),(B277-$K$2)/($K$3-$K$2),"")</f>
        <v/>
      </c>
      <c r="D277" s="5">
        <f>IF(ISNUMBER(C277),IF(B277&lt;$K$3,LN(($K$3-$K$2)/($K$3-B277)),""),"")</f>
        <v/>
      </c>
      <c r="E277" s="5">
        <f>IF(AND(ISNUMBER(C277),ISNUMBER(D277),C277&gt;=0.2,C277&lt;=0.8),D277,"")</f>
        <v/>
      </c>
      <c r="F277" s="5">
        <f>IF(ISNUMBER(E277),A277,"")</f>
        <v/>
      </c>
      <c r="G277" s="5">
        <f>IF(AND(ISNUMBER(E277),ISNUMBER($K$4)),E277-($K$7+$K$4*A277),"")</f>
        <v/>
      </c>
    </row>
    <row r="278">
      <c r="A278" s="4" t="n"/>
      <c r="B278" s="4" t="n"/>
      <c r="C278" s="5">
        <f>IF(AND(ISNUMBER(A278),ISNUMBER(B278),ISNUMBER($K$2),ISNUMBER($K$3),$K$3&gt;$K$2),(B278-$K$2)/($K$3-$K$2),"")</f>
        <v/>
      </c>
      <c r="D278" s="5">
        <f>IF(ISNUMBER(C278),IF(B278&lt;$K$3,LN(($K$3-$K$2)/($K$3-B278)),""),"")</f>
        <v/>
      </c>
      <c r="E278" s="5">
        <f>IF(AND(ISNUMBER(C278),ISNUMBER(D278),C278&gt;=0.2,C278&lt;=0.8),D278,"")</f>
        <v/>
      </c>
      <c r="F278" s="5">
        <f>IF(ISNUMBER(E278),A278,"")</f>
        <v/>
      </c>
      <c r="G278" s="5">
        <f>IF(AND(ISNUMBER(E278),ISNUMBER($K$4)),E278-($K$7+$K$4*A278),"")</f>
        <v/>
      </c>
    </row>
    <row r="279">
      <c r="A279" s="4" t="n"/>
      <c r="B279" s="4" t="n"/>
      <c r="C279" s="5">
        <f>IF(AND(ISNUMBER(A279),ISNUMBER(B279),ISNUMBER($K$2),ISNUMBER($K$3),$K$3&gt;$K$2),(B279-$K$2)/($K$3-$K$2),"")</f>
        <v/>
      </c>
      <c r="D279" s="5">
        <f>IF(ISNUMBER(C279),IF(B279&lt;$K$3,LN(($K$3-$K$2)/($K$3-B279)),""),"")</f>
        <v/>
      </c>
      <c r="E279" s="5">
        <f>IF(AND(ISNUMBER(C279),ISNUMBER(D279),C279&gt;=0.2,C279&lt;=0.8),D279,"")</f>
        <v/>
      </c>
      <c r="F279" s="5">
        <f>IF(ISNUMBER(E279),A279,"")</f>
        <v/>
      </c>
      <c r="G279" s="5">
        <f>IF(AND(ISNUMBER(E279),ISNUMBER($K$4)),E279-($K$7+$K$4*A279),"")</f>
        <v/>
      </c>
    </row>
    <row r="280">
      <c r="A280" s="4" t="n"/>
      <c r="B280" s="4" t="n"/>
      <c r="C280" s="5">
        <f>IF(AND(ISNUMBER(A280),ISNUMBER(B280),ISNUMBER($K$2),ISNUMBER($K$3),$K$3&gt;$K$2),(B280-$K$2)/($K$3-$K$2),"")</f>
        <v/>
      </c>
      <c r="D280" s="5">
        <f>IF(ISNUMBER(C280),IF(B280&lt;$K$3,LN(($K$3-$K$2)/($K$3-B280)),""),"")</f>
        <v/>
      </c>
      <c r="E280" s="5">
        <f>IF(AND(ISNUMBER(C280),ISNUMBER(D280),C280&gt;=0.2,C280&lt;=0.8),D280,"")</f>
        <v/>
      </c>
      <c r="F280" s="5">
        <f>IF(ISNUMBER(E280),A280,"")</f>
        <v/>
      </c>
      <c r="G280" s="5">
        <f>IF(AND(ISNUMBER(E280),ISNUMBER($K$4)),E280-($K$7+$K$4*A280),"")</f>
        <v/>
      </c>
    </row>
    <row r="281">
      <c r="A281" s="4" t="n"/>
      <c r="B281" s="4" t="n"/>
      <c r="C281" s="5">
        <f>IF(AND(ISNUMBER(A281),ISNUMBER(B281),ISNUMBER($K$2),ISNUMBER($K$3),$K$3&gt;$K$2),(B281-$K$2)/($K$3-$K$2),"")</f>
        <v/>
      </c>
      <c r="D281" s="5">
        <f>IF(ISNUMBER(C281),IF(B281&lt;$K$3,LN(($K$3-$K$2)/($K$3-B281)),""),"")</f>
        <v/>
      </c>
      <c r="E281" s="5">
        <f>IF(AND(ISNUMBER(C281),ISNUMBER(D281),C281&gt;=0.2,C281&lt;=0.8),D281,"")</f>
        <v/>
      </c>
      <c r="F281" s="5">
        <f>IF(ISNUMBER(E281),A281,"")</f>
        <v/>
      </c>
      <c r="G281" s="5">
        <f>IF(AND(ISNUMBER(E281),ISNUMBER($K$4)),E281-($K$7+$K$4*A281),"")</f>
        <v/>
      </c>
    </row>
    <row r="282">
      <c r="A282" s="4" t="n"/>
      <c r="B282" s="4" t="n"/>
      <c r="C282" s="5">
        <f>IF(AND(ISNUMBER(A282),ISNUMBER(B282),ISNUMBER($K$2),ISNUMBER($K$3),$K$3&gt;$K$2),(B282-$K$2)/($K$3-$K$2),"")</f>
        <v/>
      </c>
      <c r="D282" s="5">
        <f>IF(ISNUMBER(C282),IF(B282&lt;$K$3,LN(($K$3-$K$2)/($K$3-B282)),""),"")</f>
        <v/>
      </c>
      <c r="E282" s="5">
        <f>IF(AND(ISNUMBER(C282),ISNUMBER(D282),C282&gt;=0.2,C282&lt;=0.8),D282,"")</f>
        <v/>
      </c>
      <c r="F282" s="5">
        <f>IF(ISNUMBER(E282),A282,"")</f>
        <v/>
      </c>
      <c r="G282" s="5">
        <f>IF(AND(ISNUMBER(E282),ISNUMBER($K$4)),E282-($K$7+$K$4*A282),"")</f>
        <v/>
      </c>
    </row>
    <row r="283">
      <c r="A283" s="4" t="n"/>
      <c r="B283" s="4" t="n"/>
      <c r="C283" s="5">
        <f>IF(AND(ISNUMBER(A283),ISNUMBER(B283),ISNUMBER($K$2),ISNUMBER($K$3),$K$3&gt;$K$2),(B283-$K$2)/($K$3-$K$2),"")</f>
        <v/>
      </c>
      <c r="D283" s="5">
        <f>IF(ISNUMBER(C283),IF(B283&lt;$K$3,LN(($K$3-$K$2)/($K$3-B283)),""),"")</f>
        <v/>
      </c>
      <c r="E283" s="5">
        <f>IF(AND(ISNUMBER(C283),ISNUMBER(D283),C283&gt;=0.2,C283&lt;=0.8),D283,"")</f>
        <v/>
      </c>
      <c r="F283" s="5">
        <f>IF(ISNUMBER(E283),A283,"")</f>
        <v/>
      </c>
      <c r="G283" s="5">
        <f>IF(AND(ISNUMBER(E283),ISNUMBER($K$4)),E283-($K$7+$K$4*A283),"")</f>
        <v/>
      </c>
    </row>
    <row r="284">
      <c r="A284" s="4" t="n"/>
      <c r="B284" s="4" t="n"/>
      <c r="C284" s="5">
        <f>IF(AND(ISNUMBER(A284),ISNUMBER(B284),ISNUMBER($K$2),ISNUMBER($K$3),$K$3&gt;$K$2),(B284-$K$2)/($K$3-$K$2),"")</f>
        <v/>
      </c>
      <c r="D284" s="5">
        <f>IF(ISNUMBER(C284),IF(B284&lt;$K$3,LN(($K$3-$K$2)/($K$3-B284)),""),"")</f>
        <v/>
      </c>
      <c r="E284" s="5">
        <f>IF(AND(ISNUMBER(C284),ISNUMBER(D284),C284&gt;=0.2,C284&lt;=0.8),D284,"")</f>
        <v/>
      </c>
      <c r="F284" s="5">
        <f>IF(ISNUMBER(E284),A284,"")</f>
        <v/>
      </c>
      <c r="G284" s="5">
        <f>IF(AND(ISNUMBER(E284),ISNUMBER($K$4)),E284-($K$7+$K$4*A284),"")</f>
        <v/>
      </c>
    </row>
    <row r="285">
      <c r="A285" s="4" t="n"/>
      <c r="B285" s="4" t="n"/>
      <c r="C285" s="5">
        <f>IF(AND(ISNUMBER(A285),ISNUMBER(B285),ISNUMBER($K$2),ISNUMBER($K$3),$K$3&gt;$K$2),(B285-$K$2)/($K$3-$K$2),"")</f>
        <v/>
      </c>
      <c r="D285" s="5">
        <f>IF(ISNUMBER(C285),IF(B285&lt;$K$3,LN(($K$3-$K$2)/($K$3-B285)),""),"")</f>
        <v/>
      </c>
      <c r="E285" s="5">
        <f>IF(AND(ISNUMBER(C285),ISNUMBER(D285),C285&gt;=0.2,C285&lt;=0.8),D285,"")</f>
        <v/>
      </c>
      <c r="F285" s="5">
        <f>IF(ISNUMBER(E285),A285,"")</f>
        <v/>
      </c>
      <c r="G285" s="5">
        <f>IF(AND(ISNUMBER(E285),ISNUMBER($K$4)),E285-($K$7+$K$4*A285),"")</f>
        <v/>
      </c>
    </row>
    <row r="286">
      <c r="A286" s="4" t="n"/>
      <c r="B286" s="4" t="n"/>
      <c r="C286" s="5">
        <f>IF(AND(ISNUMBER(A286),ISNUMBER(B286),ISNUMBER($K$2),ISNUMBER($K$3),$K$3&gt;$K$2),(B286-$K$2)/($K$3-$K$2),"")</f>
        <v/>
      </c>
      <c r="D286" s="5">
        <f>IF(ISNUMBER(C286),IF(B286&lt;$K$3,LN(($K$3-$K$2)/($K$3-B286)),""),"")</f>
        <v/>
      </c>
      <c r="E286" s="5">
        <f>IF(AND(ISNUMBER(C286),ISNUMBER(D286),C286&gt;=0.2,C286&lt;=0.8),D286,"")</f>
        <v/>
      </c>
      <c r="F286" s="5">
        <f>IF(ISNUMBER(E286),A286,"")</f>
        <v/>
      </c>
      <c r="G286" s="5">
        <f>IF(AND(ISNUMBER(E286),ISNUMBER($K$4)),E286-($K$7+$K$4*A286),"")</f>
        <v/>
      </c>
    </row>
    <row r="287">
      <c r="A287" s="4" t="n"/>
      <c r="B287" s="4" t="n"/>
      <c r="C287" s="5">
        <f>IF(AND(ISNUMBER(A287),ISNUMBER(B287),ISNUMBER($K$2),ISNUMBER($K$3),$K$3&gt;$K$2),(B287-$K$2)/($K$3-$K$2),"")</f>
        <v/>
      </c>
      <c r="D287" s="5">
        <f>IF(ISNUMBER(C287),IF(B287&lt;$K$3,LN(($K$3-$K$2)/($K$3-B287)),""),"")</f>
        <v/>
      </c>
      <c r="E287" s="5">
        <f>IF(AND(ISNUMBER(C287),ISNUMBER(D287),C287&gt;=0.2,C287&lt;=0.8),D287,"")</f>
        <v/>
      </c>
      <c r="F287" s="5">
        <f>IF(ISNUMBER(E287),A287,"")</f>
        <v/>
      </c>
      <c r="G287" s="5">
        <f>IF(AND(ISNUMBER(E287),ISNUMBER($K$4)),E287-($K$7+$K$4*A287),"")</f>
        <v/>
      </c>
    </row>
    <row r="288">
      <c r="A288" s="4" t="n"/>
      <c r="B288" s="4" t="n"/>
      <c r="C288" s="5">
        <f>IF(AND(ISNUMBER(A288),ISNUMBER(B288),ISNUMBER($K$2),ISNUMBER($K$3),$K$3&gt;$K$2),(B288-$K$2)/($K$3-$K$2),"")</f>
        <v/>
      </c>
      <c r="D288" s="5">
        <f>IF(ISNUMBER(C288),IF(B288&lt;$K$3,LN(($K$3-$K$2)/($K$3-B288)),""),"")</f>
        <v/>
      </c>
      <c r="E288" s="5">
        <f>IF(AND(ISNUMBER(C288),ISNUMBER(D288),C288&gt;=0.2,C288&lt;=0.8),D288,"")</f>
        <v/>
      </c>
      <c r="F288" s="5">
        <f>IF(ISNUMBER(E288),A288,"")</f>
        <v/>
      </c>
      <c r="G288" s="5">
        <f>IF(AND(ISNUMBER(E288),ISNUMBER($K$4)),E288-($K$7+$K$4*A288),"")</f>
        <v/>
      </c>
    </row>
    <row r="289">
      <c r="A289" s="4" t="n"/>
      <c r="B289" s="4" t="n"/>
      <c r="C289" s="5">
        <f>IF(AND(ISNUMBER(A289),ISNUMBER(B289),ISNUMBER($K$2),ISNUMBER($K$3),$K$3&gt;$K$2),(B289-$K$2)/($K$3-$K$2),"")</f>
        <v/>
      </c>
      <c r="D289" s="5">
        <f>IF(ISNUMBER(C289),IF(B289&lt;$K$3,LN(($K$3-$K$2)/($K$3-B289)),""),"")</f>
        <v/>
      </c>
      <c r="E289" s="5">
        <f>IF(AND(ISNUMBER(C289),ISNUMBER(D289),C289&gt;=0.2,C289&lt;=0.8),D289,"")</f>
        <v/>
      </c>
      <c r="F289" s="5">
        <f>IF(ISNUMBER(E289),A289,"")</f>
        <v/>
      </c>
      <c r="G289" s="5">
        <f>IF(AND(ISNUMBER(E289),ISNUMBER($K$4)),E289-($K$7+$K$4*A289),"")</f>
        <v/>
      </c>
    </row>
    <row r="290">
      <c r="A290" s="4" t="n"/>
      <c r="B290" s="4" t="n"/>
      <c r="C290" s="5">
        <f>IF(AND(ISNUMBER(A290),ISNUMBER(B290),ISNUMBER($K$2),ISNUMBER($K$3),$K$3&gt;$K$2),(B290-$K$2)/($K$3-$K$2),"")</f>
        <v/>
      </c>
      <c r="D290" s="5">
        <f>IF(ISNUMBER(C290),IF(B290&lt;$K$3,LN(($K$3-$K$2)/($K$3-B290)),""),"")</f>
        <v/>
      </c>
      <c r="E290" s="5">
        <f>IF(AND(ISNUMBER(C290),ISNUMBER(D290),C290&gt;=0.2,C290&lt;=0.8),D290,"")</f>
        <v/>
      </c>
      <c r="F290" s="5">
        <f>IF(ISNUMBER(E290),A290,"")</f>
        <v/>
      </c>
      <c r="G290" s="5">
        <f>IF(AND(ISNUMBER(E290),ISNUMBER($K$4)),E290-($K$7+$K$4*A290),"")</f>
        <v/>
      </c>
    </row>
    <row r="291">
      <c r="A291" s="4" t="n"/>
      <c r="B291" s="4" t="n"/>
      <c r="C291" s="5">
        <f>IF(AND(ISNUMBER(A291),ISNUMBER(B291),ISNUMBER($K$2),ISNUMBER($K$3),$K$3&gt;$K$2),(B291-$K$2)/($K$3-$K$2),"")</f>
        <v/>
      </c>
      <c r="D291" s="5">
        <f>IF(ISNUMBER(C291),IF(B291&lt;$K$3,LN(($K$3-$K$2)/($K$3-B291)),""),"")</f>
        <v/>
      </c>
      <c r="E291" s="5">
        <f>IF(AND(ISNUMBER(C291),ISNUMBER(D291),C291&gt;=0.2,C291&lt;=0.8),D291,"")</f>
        <v/>
      </c>
      <c r="F291" s="5">
        <f>IF(ISNUMBER(E291),A291,"")</f>
        <v/>
      </c>
      <c r="G291" s="5">
        <f>IF(AND(ISNUMBER(E291),ISNUMBER($K$4)),E291-($K$7+$K$4*A291),"")</f>
        <v/>
      </c>
    </row>
    <row r="292">
      <c r="A292" s="4" t="n"/>
      <c r="B292" s="4" t="n"/>
      <c r="C292" s="5">
        <f>IF(AND(ISNUMBER(A292),ISNUMBER(B292),ISNUMBER($K$2),ISNUMBER($K$3),$K$3&gt;$K$2),(B292-$K$2)/($K$3-$K$2),"")</f>
        <v/>
      </c>
      <c r="D292" s="5">
        <f>IF(ISNUMBER(C292),IF(B292&lt;$K$3,LN(($K$3-$K$2)/($K$3-B292)),""),"")</f>
        <v/>
      </c>
      <c r="E292" s="5">
        <f>IF(AND(ISNUMBER(C292),ISNUMBER(D292),C292&gt;=0.2,C292&lt;=0.8),D292,"")</f>
        <v/>
      </c>
      <c r="F292" s="5">
        <f>IF(ISNUMBER(E292),A292,"")</f>
        <v/>
      </c>
      <c r="G292" s="5">
        <f>IF(AND(ISNUMBER(E292),ISNUMBER($K$4)),E292-($K$7+$K$4*A292),"")</f>
        <v/>
      </c>
    </row>
    <row r="293">
      <c r="A293" s="4" t="n"/>
      <c r="B293" s="4" t="n"/>
      <c r="C293" s="5">
        <f>IF(AND(ISNUMBER(A293),ISNUMBER(B293),ISNUMBER($K$2),ISNUMBER($K$3),$K$3&gt;$K$2),(B293-$K$2)/($K$3-$K$2),"")</f>
        <v/>
      </c>
      <c r="D293" s="5">
        <f>IF(ISNUMBER(C293),IF(B293&lt;$K$3,LN(($K$3-$K$2)/($K$3-B293)),""),"")</f>
        <v/>
      </c>
      <c r="E293" s="5">
        <f>IF(AND(ISNUMBER(C293),ISNUMBER(D293),C293&gt;=0.2,C293&lt;=0.8),D293,"")</f>
        <v/>
      </c>
      <c r="F293" s="5">
        <f>IF(ISNUMBER(E293),A293,"")</f>
        <v/>
      </c>
      <c r="G293" s="5">
        <f>IF(AND(ISNUMBER(E293),ISNUMBER($K$4)),E293-($K$7+$K$4*A293),"")</f>
        <v/>
      </c>
    </row>
    <row r="294">
      <c r="A294" s="4" t="n"/>
      <c r="B294" s="4" t="n"/>
      <c r="C294" s="5">
        <f>IF(AND(ISNUMBER(A294),ISNUMBER(B294),ISNUMBER($K$2),ISNUMBER($K$3),$K$3&gt;$K$2),(B294-$K$2)/($K$3-$K$2),"")</f>
        <v/>
      </c>
      <c r="D294" s="5">
        <f>IF(ISNUMBER(C294),IF(B294&lt;$K$3,LN(($K$3-$K$2)/($K$3-B294)),""),"")</f>
        <v/>
      </c>
      <c r="E294" s="5">
        <f>IF(AND(ISNUMBER(C294),ISNUMBER(D294),C294&gt;=0.2,C294&lt;=0.8),D294,"")</f>
        <v/>
      </c>
      <c r="F294" s="5">
        <f>IF(ISNUMBER(E294),A294,"")</f>
        <v/>
      </c>
      <c r="G294" s="5">
        <f>IF(AND(ISNUMBER(E294),ISNUMBER($K$4)),E294-($K$7+$K$4*A294),"")</f>
        <v/>
      </c>
    </row>
    <row r="295">
      <c r="A295" s="4" t="n"/>
      <c r="B295" s="4" t="n"/>
      <c r="C295" s="5">
        <f>IF(AND(ISNUMBER(A295),ISNUMBER(B295),ISNUMBER($K$2),ISNUMBER($K$3),$K$3&gt;$K$2),(B295-$K$2)/($K$3-$K$2),"")</f>
        <v/>
      </c>
      <c r="D295" s="5">
        <f>IF(ISNUMBER(C295),IF(B295&lt;$K$3,LN(($K$3-$K$2)/($K$3-B295)),""),"")</f>
        <v/>
      </c>
      <c r="E295" s="5">
        <f>IF(AND(ISNUMBER(C295),ISNUMBER(D295),C295&gt;=0.2,C295&lt;=0.8),D295,"")</f>
        <v/>
      </c>
      <c r="F295" s="5">
        <f>IF(ISNUMBER(E295),A295,"")</f>
        <v/>
      </c>
      <c r="G295" s="5">
        <f>IF(AND(ISNUMBER(E295),ISNUMBER($K$4)),E295-($K$7+$K$4*A295),"")</f>
        <v/>
      </c>
    </row>
    <row r="296">
      <c r="A296" s="4" t="n"/>
      <c r="B296" s="4" t="n"/>
      <c r="C296" s="5">
        <f>IF(AND(ISNUMBER(A296),ISNUMBER(B296),ISNUMBER($K$2),ISNUMBER($K$3),$K$3&gt;$K$2),(B296-$K$2)/($K$3-$K$2),"")</f>
        <v/>
      </c>
      <c r="D296" s="5">
        <f>IF(ISNUMBER(C296),IF(B296&lt;$K$3,LN(($K$3-$K$2)/($K$3-B296)),""),"")</f>
        <v/>
      </c>
      <c r="E296" s="5">
        <f>IF(AND(ISNUMBER(C296),ISNUMBER(D296),C296&gt;=0.2,C296&lt;=0.8),D296,"")</f>
        <v/>
      </c>
      <c r="F296" s="5">
        <f>IF(ISNUMBER(E296),A296,"")</f>
        <v/>
      </c>
      <c r="G296" s="5">
        <f>IF(AND(ISNUMBER(E296),ISNUMBER($K$4)),E296-($K$7+$K$4*A296),"")</f>
        <v/>
      </c>
    </row>
    <row r="297">
      <c r="A297" s="4" t="n"/>
      <c r="B297" s="4" t="n"/>
      <c r="C297" s="5">
        <f>IF(AND(ISNUMBER(A297),ISNUMBER(B297),ISNUMBER($K$2),ISNUMBER($K$3),$K$3&gt;$K$2),(B297-$K$2)/($K$3-$K$2),"")</f>
        <v/>
      </c>
      <c r="D297" s="5">
        <f>IF(ISNUMBER(C297),IF(B297&lt;$K$3,LN(($K$3-$K$2)/($K$3-B297)),""),"")</f>
        <v/>
      </c>
      <c r="E297" s="5">
        <f>IF(AND(ISNUMBER(C297),ISNUMBER(D297),C297&gt;=0.2,C297&lt;=0.8),D297,"")</f>
        <v/>
      </c>
      <c r="F297" s="5">
        <f>IF(ISNUMBER(E297),A297,"")</f>
        <v/>
      </c>
      <c r="G297" s="5">
        <f>IF(AND(ISNUMBER(E297),ISNUMBER($K$4)),E297-($K$7+$K$4*A297),"")</f>
        <v/>
      </c>
    </row>
    <row r="298">
      <c r="A298" s="4" t="n"/>
      <c r="B298" s="4" t="n"/>
      <c r="C298" s="5">
        <f>IF(AND(ISNUMBER(A298),ISNUMBER(B298),ISNUMBER($K$2),ISNUMBER($K$3),$K$3&gt;$K$2),(B298-$K$2)/($K$3-$K$2),"")</f>
        <v/>
      </c>
      <c r="D298" s="5">
        <f>IF(ISNUMBER(C298),IF(B298&lt;$K$3,LN(($K$3-$K$2)/($K$3-B298)),""),"")</f>
        <v/>
      </c>
      <c r="E298" s="5">
        <f>IF(AND(ISNUMBER(C298),ISNUMBER(D298),C298&gt;=0.2,C298&lt;=0.8),D298,"")</f>
        <v/>
      </c>
      <c r="F298" s="5">
        <f>IF(ISNUMBER(E298),A298,"")</f>
        <v/>
      </c>
      <c r="G298" s="5">
        <f>IF(AND(ISNUMBER(E298),ISNUMBER($K$4)),E298-($K$7+$K$4*A298),"")</f>
        <v/>
      </c>
    </row>
    <row r="299">
      <c r="A299" s="4" t="n"/>
      <c r="B299" s="4" t="n"/>
      <c r="C299" s="5">
        <f>IF(AND(ISNUMBER(A299),ISNUMBER(B299),ISNUMBER($K$2),ISNUMBER($K$3),$K$3&gt;$K$2),(B299-$K$2)/($K$3-$K$2),"")</f>
        <v/>
      </c>
      <c r="D299" s="5">
        <f>IF(ISNUMBER(C299),IF(B299&lt;$K$3,LN(($K$3-$K$2)/($K$3-B299)),""),"")</f>
        <v/>
      </c>
      <c r="E299" s="5">
        <f>IF(AND(ISNUMBER(C299),ISNUMBER(D299),C299&gt;=0.2,C299&lt;=0.8),D299,"")</f>
        <v/>
      </c>
      <c r="F299" s="5">
        <f>IF(ISNUMBER(E299),A299,"")</f>
        <v/>
      </c>
      <c r="G299" s="5">
        <f>IF(AND(ISNUMBER(E299),ISNUMBER($K$4)),E299-($K$7+$K$4*A299),"")</f>
        <v/>
      </c>
    </row>
    <row r="300">
      <c r="A300" s="4" t="n"/>
      <c r="B300" s="4" t="n"/>
      <c r="C300" s="5">
        <f>IF(AND(ISNUMBER(A300),ISNUMBER(B300),ISNUMBER($K$2),ISNUMBER($K$3),$K$3&gt;$K$2),(B300-$K$2)/($K$3-$K$2),"")</f>
        <v/>
      </c>
      <c r="D300" s="5">
        <f>IF(ISNUMBER(C300),IF(B300&lt;$K$3,LN(($K$3-$K$2)/($K$3-B300)),""),"")</f>
        <v/>
      </c>
      <c r="E300" s="5">
        <f>IF(AND(ISNUMBER(C300),ISNUMBER(D300),C300&gt;=0.2,C300&lt;=0.8),D300,"")</f>
        <v/>
      </c>
      <c r="F300" s="5">
        <f>IF(ISNUMBER(E300),A300,"")</f>
        <v/>
      </c>
      <c r="G300" s="5">
        <f>IF(AND(ISNUMBER(E300),ISNUMBER($K$4)),E300-($K$7+$K$4*A300),"")</f>
        <v/>
      </c>
    </row>
    <row r="301">
      <c r="A301" s="4" t="n"/>
      <c r="B301" s="4" t="n"/>
      <c r="C301" s="5">
        <f>IF(AND(ISNUMBER(A301),ISNUMBER(B301),ISNUMBER($K$2),ISNUMBER($K$3),$K$3&gt;$K$2),(B301-$K$2)/($K$3-$K$2),"")</f>
        <v/>
      </c>
      <c r="D301" s="5">
        <f>IF(ISNUMBER(C301),IF(B301&lt;$K$3,LN(($K$3-$K$2)/($K$3-B301)),""),"")</f>
        <v/>
      </c>
      <c r="E301" s="5">
        <f>IF(AND(ISNUMBER(C301),ISNUMBER(D301),C301&gt;=0.2,C301&lt;=0.8),D301,"")</f>
        <v/>
      </c>
      <c r="F301" s="5">
        <f>IF(ISNUMBER(E301),A301,"")</f>
        <v/>
      </c>
      <c r="G301" s="5">
        <f>IF(AND(ISNUMBER(E301),ISNUMBER($K$4)),E301-($K$7+$K$4*A301),"")</f>
        <v/>
      </c>
    </row>
    <row r="302">
      <c r="A302" s="4" t="n"/>
      <c r="B302" s="4" t="n"/>
      <c r="C302" s="5">
        <f>IF(AND(ISNUMBER(A302),ISNUMBER(B302),ISNUMBER($K$2),ISNUMBER($K$3),$K$3&gt;$K$2),(B302-$K$2)/($K$3-$K$2),"")</f>
        <v/>
      </c>
      <c r="D302" s="5">
        <f>IF(ISNUMBER(C302),IF(B302&lt;$K$3,LN(($K$3-$K$2)/($K$3-B302)),""),"")</f>
        <v/>
      </c>
      <c r="E302" s="5">
        <f>IF(AND(ISNUMBER(C302),ISNUMBER(D302),C302&gt;=0.2,C302&lt;=0.8),D302,"")</f>
        <v/>
      </c>
      <c r="F302" s="5">
        <f>IF(ISNUMBER(E302),A302,"")</f>
        <v/>
      </c>
      <c r="G302" s="5">
        <f>IF(AND(ISNUMBER(E302),ISNUMBER($K$4)),E302-($K$7+$K$4*A302),"")</f>
        <v/>
      </c>
    </row>
    <row r="303">
      <c r="A303" s="4" t="n"/>
      <c r="B303" s="4" t="n"/>
      <c r="C303" s="5">
        <f>IF(AND(ISNUMBER(A303),ISNUMBER(B303),ISNUMBER($K$2),ISNUMBER($K$3),$K$3&gt;$K$2),(B303-$K$2)/($K$3-$K$2),"")</f>
        <v/>
      </c>
      <c r="D303" s="5">
        <f>IF(ISNUMBER(C303),IF(B303&lt;$K$3,LN(($K$3-$K$2)/($K$3-B303)),""),"")</f>
        <v/>
      </c>
      <c r="E303" s="5">
        <f>IF(AND(ISNUMBER(C303),ISNUMBER(D303),C303&gt;=0.2,C303&lt;=0.8),D303,"")</f>
        <v/>
      </c>
      <c r="F303" s="5">
        <f>IF(ISNUMBER(E303),A303,"")</f>
        <v/>
      </c>
      <c r="G303" s="5">
        <f>IF(AND(ISNUMBER(E303),ISNUMBER($K$4)),E303-($K$7+$K$4*A303),"")</f>
        <v/>
      </c>
    </row>
    <row r="304">
      <c r="A304" s="4" t="n"/>
      <c r="B304" s="4" t="n"/>
      <c r="C304" s="5">
        <f>IF(AND(ISNUMBER(A304),ISNUMBER(B304),ISNUMBER($K$2),ISNUMBER($K$3),$K$3&gt;$K$2),(B304-$K$2)/($K$3-$K$2),"")</f>
        <v/>
      </c>
      <c r="D304" s="5">
        <f>IF(ISNUMBER(C304),IF(B304&lt;$K$3,LN(($K$3-$K$2)/($K$3-B304)),""),"")</f>
        <v/>
      </c>
      <c r="E304" s="5">
        <f>IF(AND(ISNUMBER(C304),ISNUMBER(D304),C304&gt;=0.2,C304&lt;=0.8),D304,"")</f>
        <v/>
      </c>
      <c r="F304" s="5">
        <f>IF(ISNUMBER(E304),A304,"")</f>
        <v/>
      </c>
      <c r="G304" s="5">
        <f>IF(AND(ISNUMBER(E304),ISNUMBER($K$4)),E304-($K$7+$K$4*A304),"")</f>
        <v/>
      </c>
    </row>
    <row r="305">
      <c r="A305" s="4" t="n"/>
      <c r="B305" s="4" t="n"/>
      <c r="C305" s="5">
        <f>IF(AND(ISNUMBER(A305),ISNUMBER(B305),ISNUMBER($K$2),ISNUMBER($K$3),$K$3&gt;$K$2),(B305-$K$2)/($K$3-$K$2),"")</f>
        <v/>
      </c>
      <c r="D305" s="5">
        <f>IF(ISNUMBER(C305),IF(B305&lt;$K$3,LN(($K$3-$K$2)/($K$3-B305)),""),"")</f>
        <v/>
      </c>
      <c r="E305" s="5">
        <f>IF(AND(ISNUMBER(C305),ISNUMBER(D305),C305&gt;=0.2,C305&lt;=0.8),D305,"")</f>
        <v/>
      </c>
      <c r="F305" s="5">
        <f>IF(ISNUMBER(E305),A305,"")</f>
        <v/>
      </c>
      <c r="G305" s="5">
        <f>IF(AND(ISNUMBER(E305),ISNUMBER($K$4)),E305-($K$7+$K$4*A305),"")</f>
        <v/>
      </c>
    </row>
    <row r="306">
      <c r="A306" s="4" t="n"/>
      <c r="B306" s="4" t="n"/>
      <c r="C306" s="5">
        <f>IF(AND(ISNUMBER(A306),ISNUMBER(B306),ISNUMBER($K$2),ISNUMBER($K$3),$K$3&gt;$K$2),(B306-$K$2)/($K$3-$K$2),"")</f>
        <v/>
      </c>
      <c r="D306" s="5">
        <f>IF(ISNUMBER(C306),IF(B306&lt;$K$3,LN(($K$3-$K$2)/($K$3-B306)),""),"")</f>
        <v/>
      </c>
      <c r="E306" s="5">
        <f>IF(AND(ISNUMBER(C306),ISNUMBER(D306),C306&gt;=0.2,C306&lt;=0.8),D306,"")</f>
        <v/>
      </c>
      <c r="F306" s="5">
        <f>IF(ISNUMBER(E306),A306,"")</f>
        <v/>
      </c>
      <c r="G306" s="5">
        <f>IF(AND(ISNUMBER(E306),ISNUMBER($K$4)),E306-($K$7+$K$4*A306),"")</f>
        <v/>
      </c>
    </row>
    <row r="307">
      <c r="A307" s="4" t="n"/>
      <c r="B307" s="4" t="n"/>
      <c r="C307" s="5">
        <f>IF(AND(ISNUMBER(A307),ISNUMBER(B307),ISNUMBER($K$2),ISNUMBER($K$3),$K$3&gt;$K$2),(B307-$K$2)/($K$3-$K$2),"")</f>
        <v/>
      </c>
      <c r="D307" s="5">
        <f>IF(ISNUMBER(C307),IF(B307&lt;$K$3,LN(($K$3-$K$2)/($K$3-B307)),""),"")</f>
        <v/>
      </c>
      <c r="E307" s="5">
        <f>IF(AND(ISNUMBER(C307),ISNUMBER(D307),C307&gt;=0.2,C307&lt;=0.8),D307,"")</f>
        <v/>
      </c>
      <c r="F307" s="5">
        <f>IF(ISNUMBER(E307),A307,"")</f>
        <v/>
      </c>
      <c r="G307" s="5">
        <f>IF(AND(ISNUMBER(E307),ISNUMBER($K$4)),E307-($K$7+$K$4*A307),"")</f>
        <v/>
      </c>
    </row>
    <row r="308">
      <c r="A308" s="4" t="n"/>
      <c r="B308" s="4" t="n"/>
      <c r="C308" s="5">
        <f>IF(AND(ISNUMBER(A308),ISNUMBER(B308),ISNUMBER($K$2),ISNUMBER($K$3),$K$3&gt;$K$2),(B308-$K$2)/($K$3-$K$2),"")</f>
        <v/>
      </c>
      <c r="D308" s="5">
        <f>IF(ISNUMBER(C308),IF(B308&lt;$K$3,LN(($K$3-$K$2)/($K$3-B308)),""),"")</f>
        <v/>
      </c>
      <c r="E308" s="5">
        <f>IF(AND(ISNUMBER(C308),ISNUMBER(D308),C308&gt;=0.2,C308&lt;=0.8),D308,"")</f>
        <v/>
      </c>
      <c r="F308" s="5">
        <f>IF(ISNUMBER(E308),A308,"")</f>
        <v/>
      </c>
      <c r="G308" s="5">
        <f>IF(AND(ISNUMBER(E308),ISNUMBER($K$4)),E308-($K$7+$K$4*A308),"")</f>
        <v/>
      </c>
    </row>
  </sheetData>
  <autoFilter ref="A8:G308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4" customWidth="1" min="10" max="10"/>
    <col width="18" customWidth="1" min="11" max="11"/>
  </cols>
  <sheetData>
    <row r="1">
      <c r="A1" t="inlineStr">
        <is>
          <t>Reoxigenación a 400 rpm</t>
        </is>
      </c>
      <c r="J1" t="inlineStr">
        <is>
          <t>RPM</t>
        </is>
      </c>
      <c r="K1" t="n">
        <v>400</v>
      </c>
    </row>
    <row r="2">
      <c r="A2" t="inlineStr">
        <is>
          <t>Volumen: 30 L de agua</t>
        </is>
      </c>
      <c r="J2" t="inlineStr">
        <is>
          <t>y₀ (entrada)</t>
        </is>
      </c>
      <c r="K2" s="4" t="n"/>
    </row>
    <row r="3">
      <c r="A3" t="inlineStr">
        <is>
          <t>Aire: 15 L/min = 0.5 vvm</t>
        </is>
      </c>
      <c r="J3" t="inlineStr">
        <is>
          <t>y∞ (entrada)</t>
        </is>
      </c>
      <c r="K3" s="4" t="n"/>
    </row>
    <row r="4">
      <c r="A4" t="inlineStr">
        <is>
          <t>Archivo / equipo:</t>
        </is>
      </c>
      <c r="B4" s="4" t="n"/>
      <c r="J4" t="inlineStr">
        <is>
          <t>Pendiente [s⁻¹]</t>
        </is>
      </c>
      <c r="K4">
        <f>IF(AND(K8&gt;=3,ISNUMBER(K2),ISNUMBER(K3),K3&gt;K2),IFERROR(SLOPE(E9:E308,F9:F308),""),"")</f>
        <v/>
      </c>
    </row>
    <row r="5">
      <c r="A5" t="inlineStr">
        <is>
          <t>Temperatura [°C]:</t>
        </is>
      </c>
      <c r="B5" s="4" t="n"/>
      <c r="J5" t="inlineStr">
        <is>
          <t>kLa [h⁻¹]</t>
        </is>
      </c>
      <c r="K5">
        <f>IF(ISNUMBER(K4),K4*3600,"")</f>
        <v/>
      </c>
    </row>
    <row r="6">
      <c r="A6" t="inlineStr">
        <is>
          <t>Intervalos de mesetas:</t>
        </is>
      </c>
      <c r="B6" s="4" t="n"/>
      <c r="J6" t="inlineStr">
        <is>
          <t>R²</t>
        </is>
      </c>
      <c r="K6">
        <f>IF(ISNUMBER(K4),IFERROR(RSQ(E9:E308,F9:F308),""),"")</f>
        <v/>
      </c>
    </row>
    <row r="7">
      <c r="J7" t="inlineStr">
        <is>
          <t>Intercepto</t>
        </is>
      </c>
      <c r="K7">
        <f>IF(ISNUMBER(K4),IFERROR(INTERCEPT(E9:E308,F9:F308),""),"")</f>
        <v/>
      </c>
    </row>
    <row r="8">
      <c r="A8" s="1" t="inlineStr">
        <is>
          <t>Tiempo [s]</t>
        </is>
      </c>
      <c r="B8" s="1" t="inlineStr">
        <is>
          <t>Oxígeno [%]</t>
        </is>
      </c>
      <c r="C8" s="1" t="inlineStr">
        <is>
          <t>Recorrido r</t>
        </is>
      </c>
      <c r="D8" s="1" t="inlineStr">
        <is>
          <t>Y</t>
        </is>
      </c>
      <c r="E8" s="1" t="inlineStr">
        <is>
          <t>Y seleccionado</t>
        </is>
      </c>
      <c r="F8" s="1" t="inlineStr">
        <is>
          <t>t seleccionado</t>
        </is>
      </c>
      <c r="G8" s="1" t="inlineStr">
        <is>
          <t>Residuo</t>
        </is>
      </c>
      <c r="J8" s="1" t="inlineStr">
        <is>
          <t>Puntos de ajuste</t>
        </is>
      </c>
      <c r="K8" s="1">
        <f>COUNT(E9:E308)</f>
        <v/>
      </c>
    </row>
    <row r="9">
      <c r="A9" s="4" t="n"/>
      <c r="B9" s="4" t="n"/>
      <c r="C9" s="5">
        <f>IF(AND(ISNUMBER(A9),ISNUMBER(B9),ISNUMBER($K$2),ISNUMBER($K$3),$K$3&gt;$K$2),(B9-$K$2)/($K$3-$K$2),"")</f>
        <v/>
      </c>
      <c r="D9" s="5">
        <f>IF(ISNUMBER(C9),IF(B9&lt;$K$3,LN(($K$3-$K$2)/($K$3-B9)),""),"")</f>
        <v/>
      </c>
      <c r="E9" s="5">
        <f>IF(AND(ISNUMBER(C9),ISNUMBER(D9),C9&gt;=0.2,C9&lt;=0.8),D9,"")</f>
        <v/>
      </c>
      <c r="F9" s="5">
        <f>IF(ISNUMBER(E9),A9,"")</f>
        <v/>
      </c>
      <c r="G9" s="5">
        <f>IF(AND(ISNUMBER(E9),ISNUMBER($K$4)),E9-($K$7+$K$4*A9),"")</f>
        <v/>
      </c>
    </row>
    <row r="10">
      <c r="A10" s="4" t="n"/>
      <c r="B10" s="4" t="n"/>
      <c r="C10" s="5">
        <f>IF(AND(ISNUMBER(A10),ISNUMBER(B10),ISNUMBER($K$2),ISNUMBER($K$3),$K$3&gt;$K$2),(B10-$K$2)/($K$3-$K$2),"")</f>
        <v/>
      </c>
      <c r="D10" s="5">
        <f>IF(ISNUMBER(C10),IF(B10&lt;$K$3,LN(($K$3-$K$2)/($K$3-B10)),""),"")</f>
        <v/>
      </c>
      <c r="E10" s="5">
        <f>IF(AND(ISNUMBER(C10),ISNUMBER(D10),C10&gt;=0.2,C10&lt;=0.8),D10,"")</f>
        <v/>
      </c>
      <c r="F10" s="5">
        <f>IF(ISNUMBER(E10),A10,"")</f>
        <v/>
      </c>
      <c r="G10" s="5">
        <f>IF(AND(ISNUMBER(E10),ISNUMBER($K$4)),E10-($K$7+$K$4*A10),"")</f>
        <v/>
      </c>
    </row>
    <row r="11">
      <c r="A11" s="4" t="n"/>
      <c r="B11" s="4" t="n"/>
      <c r="C11" s="5">
        <f>IF(AND(ISNUMBER(A11),ISNUMBER(B11),ISNUMBER($K$2),ISNUMBER($K$3),$K$3&gt;$K$2),(B11-$K$2)/($K$3-$K$2),"")</f>
        <v/>
      </c>
      <c r="D11" s="5">
        <f>IF(ISNUMBER(C11),IF(B11&lt;$K$3,LN(($K$3-$K$2)/($K$3-B11)),""),"")</f>
        <v/>
      </c>
      <c r="E11" s="5">
        <f>IF(AND(ISNUMBER(C11),ISNUMBER(D11),C11&gt;=0.2,C11&lt;=0.8),D11,"")</f>
        <v/>
      </c>
      <c r="F11" s="5">
        <f>IF(ISNUMBER(E11),A11,"")</f>
        <v/>
      </c>
      <c r="G11" s="5">
        <f>IF(AND(ISNUMBER(E11),ISNUMBER($K$4)),E11-($K$7+$K$4*A11),"")</f>
        <v/>
      </c>
    </row>
    <row r="12">
      <c r="A12" s="4" t="n"/>
      <c r="B12" s="4" t="n"/>
      <c r="C12" s="5">
        <f>IF(AND(ISNUMBER(A12),ISNUMBER(B12),ISNUMBER($K$2),ISNUMBER($K$3),$K$3&gt;$K$2),(B12-$K$2)/($K$3-$K$2),"")</f>
        <v/>
      </c>
      <c r="D12" s="5">
        <f>IF(ISNUMBER(C12),IF(B12&lt;$K$3,LN(($K$3-$K$2)/($K$3-B12)),""),"")</f>
        <v/>
      </c>
      <c r="E12" s="5">
        <f>IF(AND(ISNUMBER(C12),ISNUMBER(D12),C12&gt;=0.2,C12&lt;=0.8),D12,"")</f>
        <v/>
      </c>
      <c r="F12" s="5">
        <f>IF(ISNUMBER(E12),A12,"")</f>
        <v/>
      </c>
      <c r="G12" s="5">
        <f>IF(AND(ISNUMBER(E12),ISNUMBER($K$4)),E12-($K$7+$K$4*A12),"")</f>
        <v/>
      </c>
    </row>
    <row r="13">
      <c r="A13" s="4" t="n"/>
      <c r="B13" s="4" t="n"/>
      <c r="C13" s="5">
        <f>IF(AND(ISNUMBER(A13),ISNUMBER(B13),ISNUMBER($K$2),ISNUMBER($K$3),$K$3&gt;$K$2),(B13-$K$2)/($K$3-$K$2),"")</f>
        <v/>
      </c>
      <c r="D13" s="5">
        <f>IF(ISNUMBER(C13),IF(B13&lt;$K$3,LN(($K$3-$K$2)/($K$3-B13)),""),"")</f>
        <v/>
      </c>
      <c r="E13" s="5">
        <f>IF(AND(ISNUMBER(C13),ISNUMBER(D13),C13&gt;=0.2,C13&lt;=0.8),D13,"")</f>
        <v/>
      </c>
      <c r="F13" s="5">
        <f>IF(ISNUMBER(E13),A13,"")</f>
        <v/>
      </c>
      <c r="G13" s="5">
        <f>IF(AND(ISNUMBER(E13),ISNUMBER($K$4)),E13-($K$7+$K$4*A13),"")</f>
        <v/>
      </c>
    </row>
    <row r="14">
      <c r="A14" s="4" t="n"/>
      <c r="B14" s="4" t="n"/>
      <c r="C14" s="5">
        <f>IF(AND(ISNUMBER(A14),ISNUMBER(B14),ISNUMBER($K$2),ISNUMBER($K$3),$K$3&gt;$K$2),(B14-$K$2)/($K$3-$K$2),"")</f>
        <v/>
      </c>
      <c r="D14" s="5">
        <f>IF(ISNUMBER(C14),IF(B14&lt;$K$3,LN(($K$3-$K$2)/($K$3-B14)),""),"")</f>
        <v/>
      </c>
      <c r="E14" s="5">
        <f>IF(AND(ISNUMBER(C14),ISNUMBER(D14),C14&gt;=0.2,C14&lt;=0.8),D14,"")</f>
        <v/>
      </c>
      <c r="F14" s="5">
        <f>IF(ISNUMBER(E14),A14,"")</f>
        <v/>
      </c>
      <c r="G14" s="5">
        <f>IF(AND(ISNUMBER(E14),ISNUMBER($K$4)),E14-($K$7+$K$4*A14),"")</f>
        <v/>
      </c>
    </row>
    <row r="15">
      <c r="A15" s="4" t="n"/>
      <c r="B15" s="4" t="n"/>
      <c r="C15" s="5">
        <f>IF(AND(ISNUMBER(A15),ISNUMBER(B15),ISNUMBER($K$2),ISNUMBER($K$3),$K$3&gt;$K$2),(B15-$K$2)/($K$3-$K$2),"")</f>
        <v/>
      </c>
      <c r="D15" s="5">
        <f>IF(ISNUMBER(C15),IF(B15&lt;$K$3,LN(($K$3-$K$2)/($K$3-B15)),""),"")</f>
        <v/>
      </c>
      <c r="E15" s="5">
        <f>IF(AND(ISNUMBER(C15),ISNUMBER(D15),C15&gt;=0.2,C15&lt;=0.8),D15,"")</f>
        <v/>
      </c>
      <c r="F15" s="5">
        <f>IF(ISNUMBER(E15),A15,"")</f>
        <v/>
      </c>
      <c r="G15" s="5">
        <f>IF(AND(ISNUMBER(E15),ISNUMBER($K$4)),E15-($K$7+$K$4*A15),"")</f>
        <v/>
      </c>
    </row>
    <row r="16">
      <c r="A16" s="4" t="n"/>
      <c r="B16" s="4" t="n"/>
      <c r="C16" s="5">
        <f>IF(AND(ISNUMBER(A16),ISNUMBER(B16),ISNUMBER($K$2),ISNUMBER($K$3),$K$3&gt;$K$2),(B16-$K$2)/($K$3-$K$2),"")</f>
        <v/>
      </c>
      <c r="D16" s="5">
        <f>IF(ISNUMBER(C16),IF(B16&lt;$K$3,LN(($K$3-$K$2)/($K$3-B16)),""),"")</f>
        <v/>
      </c>
      <c r="E16" s="5">
        <f>IF(AND(ISNUMBER(C16),ISNUMBER(D16),C16&gt;=0.2,C16&lt;=0.8),D16,"")</f>
        <v/>
      </c>
      <c r="F16" s="5">
        <f>IF(ISNUMBER(E16),A16,"")</f>
        <v/>
      </c>
      <c r="G16" s="5">
        <f>IF(AND(ISNUMBER(E16),ISNUMBER($K$4)),E16-($K$7+$K$4*A16),"")</f>
        <v/>
      </c>
    </row>
    <row r="17">
      <c r="A17" s="4" t="n"/>
      <c r="B17" s="4" t="n"/>
      <c r="C17" s="5">
        <f>IF(AND(ISNUMBER(A17),ISNUMBER(B17),ISNUMBER($K$2),ISNUMBER($K$3),$K$3&gt;$K$2),(B17-$K$2)/($K$3-$K$2),"")</f>
        <v/>
      </c>
      <c r="D17" s="5">
        <f>IF(ISNUMBER(C17),IF(B17&lt;$K$3,LN(($K$3-$K$2)/($K$3-B17)),""),"")</f>
        <v/>
      </c>
      <c r="E17" s="5">
        <f>IF(AND(ISNUMBER(C17),ISNUMBER(D17),C17&gt;=0.2,C17&lt;=0.8),D17,"")</f>
        <v/>
      </c>
      <c r="F17" s="5">
        <f>IF(ISNUMBER(E17),A17,"")</f>
        <v/>
      </c>
      <c r="G17" s="5">
        <f>IF(AND(ISNUMBER(E17),ISNUMBER($K$4)),E17-($K$7+$K$4*A17),"")</f>
        <v/>
      </c>
    </row>
    <row r="18">
      <c r="A18" s="4" t="n"/>
      <c r="B18" s="4" t="n"/>
      <c r="C18" s="5">
        <f>IF(AND(ISNUMBER(A18),ISNUMBER(B18),ISNUMBER($K$2),ISNUMBER($K$3),$K$3&gt;$K$2),(B18-$K$2)/($K$3-$K$2),"")</f>
        <v/>
      </c>
      <c r="D18" s="5">
        <f>IF(ISNUMBER(C18),IF(B18&lt;$K$3,LN(($K$3-$K$2)/($K$3-B18)),""),"")</f>
        <v/>
      </c>
      <c r="E18" s="5">
        <f>IF(AND(ISNUMBER(C18),ISNUMBER(D18),C18&gt;=0.2,C18&lt;=0.8),D18,"")</f>
        <v/>
      </c>
      <c r="F18" s="5">
        <f>IF(ISNUMBER(E18),A18,"")</f>
        <v/>
      </c>
      <c r="G18" s="5">
        <f>IF(AND(ISNUMBER(E18),ISNUMBER($K$4)),E18-($K$7+$K$4*A18),"")</f>
        <v/>
      </c>
    </row>
    <row r="19">
      <c r="A19" s="4" t="n"/>
      <c r="B19" s="4" t="n"/>
      <c r="C19" s="5">
        <f>IF(AND(ISNUMBER(A19),ISNUMBER(B19),ISNUMBER($K$2),ISNUMBER($K$3),$K$3&gt;$K$2),(B19-$K$2)/($K$3-$K$2),"")</f>
        <v/>
      </c>
      <c r="D19" s="5">
        <f>IF(ISNUMBER(C19),IF(B19&lt;$K$3,LN(($K$3-$K$2)/($K$3-B19)),""),"")</f>
        <v/>
      </c>
      <c r="E19" s="5">
        <f>IF(AND(ISNUMBER(C19),ISNUMBER(D19),C19&gt;=0.2,C19&lt;=0.8),D19,"")</f>
        <v/>
      </c>
      <c r="F19" s="5">
        <f>IF(ISNUMBER(E19),A19,"")</f>
        <v/>
      </c>
      <c r="G19" s="5">
        <f>IF(AND(ISNUMBER(E19),ISNUMBER($K$4)),E19-($K$7+$K$4*A19),"")</f>
        <v/>
      </c>
    </row>
    <row r="20">
      <c r="A20" s="4" t="n"/>
      <c r="B20" s="4" t="n"/>
      <c r="C20" s="5">
        <f>IF(AND(ISNUMBER(A20),ISNUMBER(B20),ISNUMBER($K$2),ISNUMBER($K$3),$K$3&gt;$K$2),(B20-$K$2)/($K$3-$K$2),"")</f>
        <v/>
      </c>
      <c r="D20" s="5">
        <f>IF(ISNUMBER(C20),IF(B20&lt;$K$3,LN(($K$3-$K$2)/($K$3-B20)),""),"")</f>
        <v/>
      </c>
      <c r="E20" s="5">
        <f>IF(AND(ISNUMBER(C20),ISNUMBER(D20),C20&gt;=0.2,C20&lt;=0.8),D20,"")</f>
        <v/>
      </c>
      <c r="F20" s="5">
        <f>IF(ISNUMBER(E20),A20,"")</f>
        <v/>
      </c>
      <c r="G20" s="5">
        <f>IF(AND(ISNUMBER(E20),ISNUMBER($K$4)),E20-($K$7+$K$4*A20),"")</f>
        <v/>
      </c>
    </row>
    <row r="21">
      <c r="A21" s="4" t="n"/>
      <c r="B21" s="4" t="n"/>
      <c r="C21" s="5">
        <f>IF(AND(ISNUMBER(A21),ISNUMBER(B21),ISNUMBER($K$2),ISNUMBER($K$3),$K$3&gt;$K$2),(B21-$K$2)/($K$3-$K$2),"")</f>
        <v/>
      </c>
      <c r="D21" s="5">
        <f>IF(ISNUMBER(C21),IF(B21&lt;$K$3,LN(($K$3-$K$2)/($K$3-B21)),""),"")</f>
        <v/>
      </c>
      <c r="E21" s="5">
        <f>IF(AND(ISNUMBER(C21),ISNUMBER(D21),C21&gt;=0.2,C21&lt;=0.8),D21,"")</f>
        <v/>
      </c>
      <c r="F21" s="5">
        <f>IF(ISNUMBER(E21),A21,"")</f>
        <v/>
      </c>
      <c r="G21" s="5">
        <f>IF(AND(ISNUMBER(E21),ISNUMBER($K$4)),E21-($K$7+$K$4*A21),"")</f>
        <v/>
      </c>
    </row>
    <row r="22">
      <c r="A22" s="4" t="n"/>
      <c r="B22" s="4" t="n"/>
      <c r="C22" s="5">
        <f>IF(AND(ISNUMBER(A22),ISNUMBER(B22),ISNUMBER($K$2),ISNUMBER($K$3),$K$3&gt;$K$2),(B22-$K$2)/($K$3-$K$2),"")</f>
        <v/>
      </c>
      <c r="D22" s="5">
        <f>IF(ISNUMBER(C22),IF(B22&lt;$K$3,LN(($K$3-$K$2)/($K$3-B22)),""),"")</f>
        <v/>
      </c>
      <c r="E22" s="5">
        <f>IF(AND(ISNUMBER(C22),ISNUMBER(D22),C22&gt;=0.2,C22&lt;=0.8),D22,"")</f>
        <v/>
      </c>
      <c r="F22" s="5">
        <f>IF(ISNUMBER(E22),A22,"")</f>
        <v/>
      </c>
      <c r="G22" s="5">
        <f>IF(AND(ISNUMBER(E22),ISNUMBER($K$4)),E22-($K$7+$K$4*A22),"")</f>
        <v/>
      </c>
    </row>
    <row r="23">
      <c r="A23" s="4" t="n"/>
      <c r="B23" s="4" t="n"/>
      <c r="C23" s="5">
        <f>IF(AND(ISNUMBER(A23),ISNUMBER(B23),ISNUMBER($K$2),ISNUMBER($K$3),$K$3&gt;$K$2),(B23-$K$2)/($K$3-$K$2),"")</f>
        <v/>
      </c>
      <c r="D23" s="5">
        <f>IF(ISNUMBER(C23),IF(B23&lt;$K$3,LN(($K$3-$K$2)/($K$3-B23)),""),"")</f>
        <v/>
      </c>
      <c r="E23" s="5">
        <f>IF(AND(ISNUMBER(C23),ISNUMBER(D23),C23&gt;=0.2,C23&lt;=0.8),D23,"")</f>
        <v/>
      </c>
      <c r="F23" s="5">
        <f>IF(ISNUMBER(E23),A23,"")</f>
        <v/>
      </c>
      <c r="G23" s="5">
        <f>IF(AND(ISNUMBER(E23),ISNUMBER($K$4)),E23-($K$7+$K$4*A23),"")</f>
        <v/>
      </c>
    </row>
    <row r="24">
      <c r="A24" s="4" t="n"/>
      <c r="B24" s="4" t="n"/>
      <c r="C24" s="5">
        <f>IF(AND(ISNUMBER(A24),ISNUMBER(B24),ISNUMBER($K$2),ISNUMBER($K$3),$K$3&gt;$K$2),(B24-$K$2)/($K$3-$K$2),"")</f>
        <v/>
      </c>
      <c r="D24" s="5">
        <f>IF(ISNUMBER(C24),IF(B24&lt;$K$3,LN(($K$3-$K$2)/($K$3-B24)),""),"")</f>
        <v/>
      </c>
      <c r="E24" s="5">
        <f>IF(AND(ISNUMBER(C24),ISNUMBER(D24),C24&gt;=0.2,C24&lt;=0.8),D24,"")</f>
        <v/>
      </c>
      <c r="F24" s="5">
        <f>IF(ISNUMBER(E24),A24,"")</f>
        <v/>
      </c>
      <c r="G24" s="5">
        <f>IF(AND(ISNUMBER(E24),ISNUMBER($K$4)),E24-($K$7+$K$4*A24),"")</f>
        <v/>
      </c>
    </row>
    <row r="25">
      <c r="A25" s="4" t="n"/>
      <c r="B25" s="4" t="n"/>
      <c r="C25" s="5">
        <f>IF(AND(ISNUMBER(A25),ISNUMBER(B25),ISNUMBER($K$2),ISNUMBER($K$3),$K$3&gt;$K$2),(B25-$K$2)/($K$3-$K$2),"")</f>
        <v/>
      </c>
      <c r="D25" s="5">
        <f>IF(ISNUMBER(C25),IF(B25&lt;$K$3,LN(($K$3-$K$2)/($K$3-B25)),""),"")</f>
        <v/>
      </c>
      <c r="E25" s="5">
        <f>IF(AND(ISNUMBER(C25),ISNUMBER(D25),C25&gt;=0.2,C25&lt;=0.8),D25,"")</f>
        <v/>
      </c>
      <c r="F25" s="5">
        <f>IF(ISNUMBER(E25),A25,"")</f>
        <v/>
      </c>
      <c r="G25" s="5">
        <f>IF(AND(ISNUMBER(E25),ISNUMBER($K$4)),E25-($K$7+$K$4*A25),"")</f>
        <v/>
      </c>
    </row>
    <row r="26">
      <c r="A26" s="4" t="n"/>
      <c r="B26" s="4" t="n"/>
      <c r="C26" s="5">
        <f>IF(AND(ISNUMBER(A26),ISNUMBER(B26),ISNUMBER($K$2),ISNUMBER($K$3),$K$3&gt;$K$2),(B26-$K$2)/($K$3-$K$2),"")</f>
        <v/>
      </c>
      <c r="D26" s="5">
        <f>IF(ISNUMBER(C26),IF(B26&lt;$K$3,LN(($K$3-$K$2)/($K$3-B26)),""),"")</f>
        <v/>
      </c>
      <c r="E26" s="5">
        <f>IF(AND(ISNUMBER(C26),ISNUMBER(D26),C26&gt;=0.2,C26&lt;=0.8),D26,"")</f>
        <v/>
      </c>
      <c r="F26" s="5">
        <f>IF(ISNUMBER(E26),A26,"")</f>
        <v/>
      </c>
      <c r="G26" s="5">
        <f>IF(AND(ISNUMBER(E26),ISNUMBER($K$4)),E26-($K$7+$K$4*A26),"")</f>
        <v/>
      </c>
    </row>
    <row r="27">
      <c r="A27" s="4" t="n"/>
      <c r="B27" s="4" t="n"/>
      <c r="C27" s="5">
        <f>IF(AND(ISNUMBER(A27),ISNUMBER(B27),ISNUMBER($K$2),ISNUMBER($K$3),$K$3&gt;$K$2),(B27-$K$2)/($K$3-$K$2),"")</f>
        <v/>
      </c>
      <c r="D27" s="5">
        <f>IF(ISNUMBER(C27),IF(B27&lt;$K$3,LN(($K$3-$K$2)/($K$3-B27)),""),"")</f>
        <v/>
      </c>
      <c r="E27" s="5">
        <f>IF(AND(ISNUMBER(C27),ISNUMBER(D27),C27&gt;=0.2,C27&lt;=0.8),D27,"")</f>
        <v/>
      </c>
      <c r="F27" s="5">
        <f>IF(ISNUMBER(E27),A27,"")</f>
        <v/>
      </c>
      <c r="G27" s="5">
        <f>IF(AND(ISNUMBER(E27),ISNUMBER($K$4)),E27-($K$7+$K$4*A27),"")</f>
        <v/>
      </c>
    </row>
    <row r="28">
      <c r="A28" s="4" t="n"/>
      <c r="B28" s="4" t="n"/>
      <c r="C28" s="5">
        <f>IF(AND(ISNUMBER(A28),ISNUMBER(B28),ISNUMBER($K$2),ISNUMBER($K$3),$K$3&gt;$K$2),(B28-$K$2)/($K$3-$K$2),"")</f>
        <v/>
      </c>
      <c r="D28" s="5">
        <f>IF(ISNUMBER(C28),IF(B28&lt;$K$3,LN(($K$3-$K$2)/($K$3-B28)),""),"")</f>
        <v/>
      </c>
      <c r="E28" s="5">
        <f>IF(AND(ISNUMBER(C28),ISNUMBER(D28),C28&gt;=0.2,C28&lt;=0.8),D28,"")</f>
        <v/>
      </c>
      <c r="F28" s="5">
        <f>IF(ISNUMBER(E28),A28,"")</f>
        <v/>
      </c>
      <c r="G28" s="5">
        <f>IF(AND(ISNUMBER(E28),ISNUMBER($K$4)),E28-($K$7+$K$4*A28),"")</f>
        <v/>
      </c>
    </row>
    <row r="29">
      <c r="A29" s="4" t="n"/>
      <c r="B29" s="4" t="n"/>
      <c r="C29" s="5">
        <f>IF(AND(ISNUMBER(A29),ISNUMBER(B29),ISNUMBER($K$2),ISNUMBER($K$3),$K$3&gt;$K$2),(B29-$K$2)/($K$3-$K$2),"")</f>
        <v/>
      </c>
      <c r="D29" s="5">
        <f>IF(ISNUMBER(C29),IF(B29&lt;$K$3,LN(($K$3-$K$2)/($K$3-B29)),""),"")</f>
        <v/>
      </c>
      <c r="E29" s="5">
        <f>IF(AND(ISNUMBER(C29),ISNUMBER(D29),C29&gt;=0.2,C29&lt;=0.8),D29,"")</f>
        <v/>
      </c>
      <c r="F29" s="5">
        <f>IF(ISNUMBER(E29),A29,"")</f>
        <v/>
      </c>
      <c r="G29" s="5">
        <f>IF(AND(ISNUMBER(E29),ISNUMBER($K$4)),E29-($K$7+$K$4*A29),"")</f>
        <v/>
      </c>
    </row>
    <row r="30">
      <c r="A30" s="4" t="n"/>
      <c r="B30" s="4" t="n"/>
      <c r="C30" s="5">
        <f>IF(AND(ISNUMBER(A30),ISNUMBER(B30),ISNUMBER($K$2),ISNUMBER($K$3),$K$3&gt;$K$2),(B30-$K$2)/($K$3-$K$2),"")</f>
        <v/>
      </c>
      <c r="D30" s="5">
        <f>IF(ISNUMBER(C30),IF(B30&lt;$K$3,LN(($K$3-$K$2)/($K$3-B30)),""),"")</f>
        <v/>
      </c>
      <c r="E30" s="5">
        <f>IF(AND(ISNUMBER(C30),ISNUMBER(D30),C30&gt;=0.2,C30&lt;=0.8),D30,"")</f>
        <v/>
      </c>
      <c r="F30" s="5">
        <f>IF(ISNUMBER(E30),A30,"")</f>
        <v/>
      </c>
      <c r="G30" s="5">
        <f>IF(AND(ISNUMBER(E30),ISNUMBER($K$4)),E30-($K$7+$K$4*A30),"")</f>
        <v/>
      </c>
    </row>
    <row r="31">
      <c r="A31" s="4" t="n"/>
      <c r="B31" s="4" t="n"/>
      <c r="C31" s="5">
        <f>IF(AND(ISNUMBER(A31),ISNUMBER(B31),ISNUMBER($K$2),ISNUMBER($K$3),$K$3&gt;$K$2),(B31-$K$2)/($K$3-$K$2),"")</f>
        <v/>
      </c>
      <c r="D31" s="5">
        <f>IF(ISNUMBER(C31),IF(B31&lt;$K$3,LN(($K$3-$K$2)/($K$3-B31)),""),"")</f>
        <v/>
      </c>
      <c r="E31" s="5">
        <f>IF(AND(ISNUMBER(C31),ISNUMBER(D31),C31&gt;=0.2,C31&lt;=0.8),D31,"")</f>
        <v/>
      </c>
      <c r="F31" s="5">
        <f>IF(ISNUMBER(E31),A31,"")</f>
        <v/>
      </c>
      <c r="G31" s="5">
        <f>IF(AND(ISNUMBER(E31),ISNUMBER($K$4)),E31-($K$7+$K$4*A31),"")</f>
        <v/>
      </c>
    </row>
    <row r="32">
      <c r="A32" s="4" t="n"/>
      <c r="B32" s="4" t="n"/>
      <c r="C32" s="5">
        <f>IF(AND(ISNUMBER(A32),ISNUMBER(B32),ISNUMBER($K$2),ISNUMBER($K$3),$K$3&gt;$K$2),(B32-$K$2)/($K$3-$K$2),"")</f>
        <v/>
      </c>
      <c r="D32" s="5">
        <f>IF(ISNUMBER(C32),IF(B32&lt;$K$3,LN(($K$3-$K$2)/($K$3-B32)),""),"")</f>
        <v/>
      </c>
      <c r="E32" s="5">
        <f>IF(AND(ISNUMBER(C32),ISNUMBER(D32),C32&gt;=0.2,C32&lt;=0.8),D32,"")</f>
        <v/>
      </c>
      <c r="F32" s="5">
        <f>IF(ISNUMBER(E32),A32,"")</f>
        <v/>
      </c>
      <c r="G32" s="5">
        <f>IF(AND(ISNUMBER(E32),ISNUMBER($K$4)),E32-($K$7+$K$4*A32),"")</f>
        <v/>
      </c>
    </row>
    <row r="33">
      <c r="A33" s="4" t="n"/>
      <c r="B33" s="4" t="n"/>
      <c r="C33" s="5">
        <f>IF(AND(ISNUMBER(A33),ISNUMBER(B33),ISNUMBER($K$2),ISNUMBER($K$3),$K$3&gt;$K$2),(B33-$K$2)/($K$3-$K$2),"")</f>
        <v/>
      </c>
      <c r="D33" s="5">
        <f>IF(ISNUMBER(C33),IF(B33&lt;$K$3,LN(($K$3-$K$2)/($K$3-B33)),""),"")</f>
        <v/>
      </c>
      <c r="E33" s="5">
        <f>IF(AND(ISNUMBER(C33),ISNUMBER(D33),C33&gt;=0.2,C33&lt;=0.8),D33,"")</f>
        <v/>
      </c>
      <c r="F33" s="5">
        <f>IF(ISNUMBER(E33),A33,"")</f>
        <v/>
      </c>
      <c r="G33" s="5">
        <f>IF(AND(ISNUMBER(E33),ISNUMBER($K$4)),E33-($K$7+$K$4*A33),"")</f>
        <v/>
      </c>
    </row>
    <row r="34">
      <c r="A34" s="4" t="n"/>
      <c r="B34" s="4" t="n"/>
      <c r="C34" s="5">
        <f>IF(AND(ISNUMBER(A34),ISNUMBER(B34),ISNUMBER($K$2),ISNUMBER($K$3),$K$3&gt;$K$2),(B34-$K$2)/($K$3-$K$2),"")</f>
        <v/>
      </c>
      <c r="D34" s="5">
        <f>IF(ISNUMBER(C34),IF(B34&lt;$K$3,LN(($K$3-$K$2)/($K$3-B34)),""),"")</f>
        <v/>
      </c>
      <c r="E34" s="5">
        <f>IF(AND(ISNUMBER(C34),ISNUMBER(D34),C34&gt;=0.2,C34&lt;=0.8),D34,"")</f>
        <v/>
      </c>
      <c r="F34" s="5">
        <f>IF(ISNUMBER(E34),A34,"")</f>
        <v/>
      </c>
      <c r="G34" s="5">
        <f>IF(AND(ISNUMBER(E34),ISNUMBER($K$4)),E34-($K$7+$K$4*A34),"")</f>
        <v/>
      </c>
    </row>
    <row r="35">
      <c r="A35" s="4" t="n"/>
      <c r="B35" s="4" t="n"/>
      <c r="C35" s="5">
        <f>IF(AND(ISNUMBER(A35),ISNUMBER(B35),ISNUMBER($K$2),ISNUMBER($K$3),$K$3&gt;$K$2),(B35-$K$2)/($K$3-$K$2),"")</f>
        <v/>
      </c>
      <c r="D35" s="5">
        <f>IF(ISNUMBER(C35),IF(B35&lt;$K$3,LN(($K$3-$K$2)/($K$3-B35)),""),"")</f>
        <v/>
      </c>
      <c r="E35" s="5">
        <f>IF(AND(ISNUMBER(C35),ISNUMBER(D35),C35&gt;=0.2,C35&lt;=0.8),D35,"")</f>
        <v/>
      </c>
      <c r="F35" s="5">
        <f>IF(ISNUMBER(E35),A35,"")</f>
        <v/>
      </c>
      <c r="G35" s="5">
        <f>IF(AND(ISNUMBER(E35),ISNUMBER($K$4)),E35-($K$7+$K$4*A35),"")</f>
        <v/>
      </c>
    </row>
    <row r="36">
      <c r="A36" s="4" t="n"/>
      <c r="B36" s="4" t="n"/>
      <c r="C36" s="5">
        <f>IF(AND(ISNUMBER(A36),ISNUMBER(B36),ISNUMBER($K$2),ISNUMBER($K$3),$K$3&gt;$K$2),(B36-$K$2)/($K$3-$K$2),"")</f>
        <v/>
      </c>
      <c r="D36" s="5">
        <f>IF(ISNUMBER(C36),IF(B36&lt;$K$3,LN(($K$3-$K$2)/($K$3-B36)),""),"")</f>
        <v/>
      </c>
      <c r="E36" s="5">
        <f>IF(AND(ISNUMBER(C36),ISNUMBER(D36),C36&gt;=0.2,C36&lt;=0.8),D36,"")</f>
        <v/>
      </c>
      <c r="F36" s="5">
        <f>IF(ISNUMBER(E36),A36,"")</f>
        <v/>
      </c>
      <c r="G36" s="5">
        <f>IF(AND(ISNUMBER(E36),ISNUMBER($K$4)),E36-($K$7+$K$4*A36),"")</f>
        <v/>
      </c>
    </row>
    <row r="37">
      <c r="A37" s="4" t="n"/>
      <c r="B37" s="4" t="n"/>
      <c r="C37" s="5">
        <f>IF(AND(ISNUMBER(A37),ISNUMBER(B37),ISNUMBER($K$2),ISNUMBER($K$3),$K$3&gt;$K$2),(B37-$K$2)/($K$3-$K$2),"")</f>
        <v/>
      </c>
      <c r="D37" s="5">
        <f>IF(ISNUMBER(C37),IF(B37&lt;$K$3,LN(($K$3-$K$2)/($K$3-B37)),""),"")</f>
        <v/>
      </c>
      <c r="E37" s="5">
        <f>IF(AND(ISNUMBER(C37),ISNUMBER(D37),C37&gt;=0.2,C37&lt;=0.8),D37,"")</f>
        <v/>
      </c>
      <c r="F37" s="5">
        <f>IF(ISNUMBER(E37),A37,"")</f>
        <v/>
      </c>
      <c r="G37" s="5">
        <f>IF(AND(ISNUMBER(E37),ISNUMBER($K$4)),E37-($K$7+$K$4*A37),"")</f>
        <v/>
      </c>
    </row>
    <row r="38">
      <c r="A38" s="4" t="n"/>
      <c r="B38" s="4" t="n"/>
      <c r="C38" s="5">
        <f>IF(AND(ISNUMBER(A38),ISNUMBER(B38),ISNUMBER($K$2),ISNUMBER($K$3),$K$3&gt;$K$2),(B38-$K$2)/($K$3-$K$2),"")</f>
        <v/>
      </c>
      <c r="D38" s="5">
        <f>IF(ISNUMBER(C38),IF(B38&lt;$K$3,LN(($K$3-$K$2)/($K$3-B38)),""),"")</f>
        <v/>
      </c>
      <c r="E38" s="5">
        <f>IF(AND(ISNUMBER(C38),ISNUMBER(D38),C38&gt;=0.2,C38&lt;=0.8),D38,"")</f>
        <v/>
      </c>
      <c r="F38" s="5">
        <f>IF(ISNUMBER(E38),A38,"")</f>
        <v/>
      </c>
      <c r="G38" s="5">
        <f>IF(AND(ISNUMBER(E38),ISNUMBER($K$4)),E38-($K$7+$K$4*A38),"")</f>
        <v/>
      </c>
    </row>
    <row r="39">
      <c r="A39" s="4" t="n"/>
      <c r="B39" s="4" t="n"/>
      <c r="C39" s="5">
        <f>IF(AND(ISNUMBER(A39),ISNUMBER(B39),ISNUMBER($K$2),ISNUMBER($K$3),$K$3&gt;$K$2),(B39-$K$2)/($K$3-$K$2),"")</f>
        <v/>
      </c>
      <c r="D39" s="5">
        <f>IF(ISNUMBER(C39),IF(B39&lt;$K$3,LN(($K$3-$K$2)/($K$3-B39)),""),"")</f>
        <v/>
      </c>
      <c r="E39" s="5">
        <f>IF(AND(ISNUMBER(C39),ISNUMBER(D39),C39&gt;=0.2,C39&lt;=0.8),D39,"")</f>
        <v/>
      </c>
      <c r="F39" s="5">
        <f>IF(ISNUMBER(E39),A39,"")</f>
        <v/>
      </c>
      <c r="G39" s="5">
        <f>IF(AND(ISNUMBER(E39),ISNUMBER($K$4)),E39-($K$7+$K$4*A39),"")</f>
        <v/>
      </c>
    </row>
    <row r="40">
      <c r="A40" s="4" t="n"/>
      <c r="B40" s="4" t="n"/>
      <c r="C40" s="5">
        <f>IF(AND(ISNUMBER(A40),ISNUMBER(B40),ISNUMBER($K$2),ISNUMBER($K$3),$K$3&gt;$K$2),(B40-$K$2)/($K$3-$K$2),"")</f>
        <v/>
      </c>
      <c r="D40" s="5">
        <f>IF(ISNUMBER(C40),IF(B40&lt;$K$3,LN(($K$3-$K$2)/($K$3-B40)),""),"")</f>
        <v/>
      </c>
      <c r="E40" s="5">
        <f>IF(AND(ISNUMBER(C40),ISNUMBER(D40),C40&gt;=0.2,C40&lt;=0.8),D40,"")</f>
        <v/>
      </c>
      <c r="F40" s="5">
        <f>IF(ISNUMBER(E40),A40,"")</f>
        <v/>
      </c>
      <c r="G40" s="5">
        <f>IF(AND(ISNUMBER(E40),ISNUMBER($K$4)),E40-($K$7+$K$4*A40),"")</f>
        <v/>
      </c>
    </row>
    <row r="41">
      <c r="A41" s="4" t="n"/>
      <c r="B41" s="4" t="n"/>
      <c r="C41" s="5">
        <f>IF(AND(ISNUMBER(A41),ISNUMBER(B41),ISNUMBER($K$2),ISNUMBER($K$3),$K$3&gt;$K$2),(B41-$K$2)/($K$3-$K$2),"")</f>
        <v/>
      </c>
      <c r="D41" s="5">
        <f>IF(ISNUMBER(C41),IF(B41&lt;$K$3,LN(($K$3-$K$2)/($K$3-B41)),""),"")</f>
        <v/>
      </c>
      <c r="E41" s="5">
        <f>IF(AND(ISNUMBER(C41),ISNUMBER(D41),C41&gt;=0.2,C41&lt;=0.8),D41,"")</f>
        <v/>
      </c>
      <c r="F41" s="5">
        <f>IF(ISNUMBER(E41),A41,"")</f>
        <v/>
      </c>
      <c r="G41" s="5">
        <f>IF(AND(ISNUMBER(E41),ISNUMBER($K$4)),E41-($K$7+$K$4*A41),"")</f>
        <v/>
      </c>
    </row>
    <row r="42">
      <c r="A42" s="4" t="n"/>
      <c r="B42" s="4" t="n"/>
      <c r="C42" s="5">
        <f>IF(AND(ISNUMBER(A42),ISNUMBER(B42),ISNUMBER($K$2),ISNUMBER($K$3),$K$3&gt;$K$2),(B42-$K$2)/($K$3-$K$2),"")</f>
        <v/>
      </c>
      <c r="D42" s="5">
        <f>IF(ISNUMBER(C42),IF(B42&lt;$K$3,LN(($K$3-$K$2)/($K$3-B42)),""),"")</f>
        <v/>
      </c>
      <c r="E42" s="5">
        <f>IF(AND(ISNUMBER(C42),ISNUMBER(D42),C42&gt;=0.2,C42&lt;=0.8),D42,"")</f>
        <v/>
      </c>
      <c r="F42" s="5">
        <f>IF(ISNUMBER(E42),A42,"")</f>
        <v/>
      </c>
      <c r="G42" s="5">
        <f>IF(AND(ISNUMBER(E42),ISNUMBER($K$4)),E42-($K$7+$K$4*A42),"")</f>
        <v/>
      </c>
    </row>
    <row r="43">
      <c r="A43" s="4" t="n"/>
      <c r="B43" s="4" t="n"/>
      <c r="C43" s="5">
        <f>IF(AND(ISNUMBER(A43),ISNUMBER(B43),ISNUMBER($K$2),ISNUMBER($K$3),$K$3&gt;$K$2),(B43-$K$2)/($K$3-$K$2),"")</f>
        <v/>
      </c>
      <c r="D43" s="5">
        <f>IF(ISNUMBER(C43),IF(B43&lt;$K$3,LN(($K$3-$K$2)/($K$3-B43)),""),"")</f>
        <v/>
      </c>
      <c r="E43" s="5">
        <f>IF(AND(ISNUMBER(C43),ISNUMBER(D43),C43&gt;=0.2,C43&lt;=0.8),D43,"")</f>
        <v/>
      </c>
      <c r="F43" s="5">
        <f>IF(ISNUMBER(E43),A43,"")</f>
        <v/>
      </c>
      <c r="G43" s="5">
        <f>IF(AND(ISNUMBER(E43),ISNUMBER($K$4)),E43-($K$7+$K$4*A43),"")</f>
        <v/>
      </c>
    </row>
    <row r="44">
      <c r="A44" s="4" t="n"/>
      <c r="B44" s="4" t="n"/>
      <c r="C44" s="5">
        <f>IF(AND(ISNUMBER(A44),ISNUMBER(B44),ISNUMBER($K$2),ISNUMBER($K$3),$K$3&gt;$K$2),(B44-$K$2)/($K$3-$K$2),"")</f>
        <v/>
      </c>
      <c r="D44" s="5">
        <f>IF(ISNUMBER(C44),IF(B44&lt;$K$3,LN(($K$3-$K$2)/($K$3-B44)),""),"")</f>
        <v/>
      </c>
      <c r="E44" s="5">
        <f>IF(AND(ISNUMBER(C44),ISNUMBER(D44),C44&gt;=0.2,C44&lt;=0.8),D44,"")</f>
        <v/>
      </c>
      <c r="F44" s="5">
        <f>IF(ISNUMBER(E44),A44,"")</f>
        <v/>
      </c>
      <c r="G44" s="5">
        <f>IF(AND(ISNUMBER(E44),ISNUMBER($K$4)),E44-($K$7+$K$4*A44),"")</f>
        <v/>
      </c>
    </row>
    <row r="45">
      <c r="A45" s="4" t="n"/>
      <c r="B45" s="4" t="n"/>
      <c r="C45" s="5">
        <f>IF(AND(ISNUMBER(A45),ISNUMBER(B45),ISNUMBER($K$2),ISNUMBER($K$3),$K$3&gt;$K$2),(B45-$K$2)/($K$3-$K$2),"")</f>
        <v/>
      </c>
      <c r="D45" s="5">
        <f>IF(ISNUMBER(C45),IF(B45&lt;$K$3,LN(($K$3-$K$2)/($K$3-B45)),""),"")</f>
        <v/>
      </c>
      <c r="E45" s="5">
        <f>IF(AND(ISNUMBER(C45),ISNUMBER(D45),C45&gt;=0.2,C45&lt;=0.8),D45,"")</f>
        <v/>
      </c>
      <c r="F45" s="5">
        <f>IF(ISNUMBER(E45),A45,"")</f>
        <v/>
      </c>
      <c r="G45" s="5">
        <f>IF(AND(ISNUMBER(E45),ISNUMBER($K$4)),E45-($K$7+$K$4*A45),"")</f>
        <v/>
      </c>
    </row>
    <row r="46">
      <c r="A46" s="4" t="n"/>
      <c r="B46" s="4" t="n"/>
      <c r="C46" s="5">
        <f>IF(AND(ISNUMBER(A46),ISNUMBER(B46),ISNUMBER($K$2),ISNUMBER($K$3),$K$3&gt;$K$2),(B46-$K$2)/($K$3-$K$2),"")</f>
        <v/>
      </c>
      <c r="D46" s="5">
        <f>IF(ISNUMBER(C46),IF(B46&lt;$K$3,LN(($K$3-$K$2)/($K$3-B46)),""),"")</f>
        <v/>
      </c>
      <c r="E46" s="5">
        <f>IF(AND(ISNUMBER(C46),ISNUMBER(D46),C46&gt;=0.2,C46&lt;=0.8),D46,"")</f>
        <v/>
      </c>
      <c r="F46" s="5">
        <f>IF(ISNUMBER(E46),A46,"")</f>
        <v/>
      </c>
      <c r="G46" s="5">
        <f>IF(AND(ISNUMBER(E46),ISNUMBER($K$4)),E46-($K$7+$K$4*A46),"")</f>
        <v/>
      </c>
    </row>
    <row r="47">
      <c r="A47" s="4" t="n"/>
      <c r="B47" s="4" t="n"/>
      <c r="C47" s="5">
        <f>IF(AND(ISNUMBER(A47),ISNUMBER(B47),ISNUMBER($K$2),ISNUMBER($K$3),$K$3&gt;$K$2),(B47-$K$2)/($K$3-$K$2),"")</f>
        <v/>
      </c>
      <c r="D47" s="5">
        <f>IF(ISNUMBER(C47),IF(B47&lt;$K$3,LN(($K$3-$K$2)/($K$3-B47)),""),"")</f>
        <v/>
      </c>
      <c r="E47" s="5">
        <f>IF(AND(ISNUMBER(C47),ISNUMBER(D47),C47&gt;=0.2,C47&lt;=0.8),D47,"")</f>
        <v/>
      </c>
      <c r="F47" s="5">
        <f>IF(ISNUMBER(E47),A47,"")</f>
        <v/>
      </c>
      <c r="G47" s="5">
        <f>IF(AND(ISNUMBER(E47),ISNUMBER($K$4)),E47-($K$7+$K$4*A47),"")</f>
        <v/>
      </c>
    </row>
    <row r="48">
      <c r="A48" s="4" t="n"/>
      <c r="B48" s="4" t="n"/>
      <c r="C48" s="5">
        <f>IF(AND(ISNUMBER(A48),ISNUMBER(B48),ISNUMBER($K$2),ISNUMBER($K$3),$K$3&gt;$K$2),(B48-$K$2)/($K$3-$K$2),"")</f>
        <v/>
      </c>
      <c r="D48" s="5">
        <f>IF(ISNUMBER(C48),IF(B48&lt;$K$3,LN(($K$3-$K$2)/($K$3-B48)),""),"")</f>
        <v/>
      </c>
      <c r="E48" s="5">
        <f>IF(AND(ISNUMBER(C48),ISNUMBER(D48),C48&gt;=0.2,C48&lt;=0.8),D48,"")</f>
        <v/>
      </c>
      <c r="F48" s="5">
        <f>IF(ISNUMBER(E48),A48,"")</f>
        <v/>
      </c>
      <c r="G48" s="5">
        <f>IF(AND(ISNUMBER(E48),ISNUMBER($K$4)),E48-($K$7+$K$4*A48),"")</f>
        <v/>
      </c>
    </row>
    <row r="49">
      <c r="A49" s="4" t="n"/>
      <c r="B49" s="4" t="n"/>
      <c r="C49" s="5">
        <f>IF(AND(ISNUMBER(A49),ISNUMBER(B49),ISNUMBER($K$2),ISNUMBER($K$3),$K$3&gt;$K$2),(B49-$K$2)/($K$3-$K$2),"")</f>
        <v/>
      </c>
      <c r="D49" s="5">
        <f>IF(ISNUMBER(C49),IF(B49&lt;$K$3,LN(($K$3-$K$2)/($K$3-B49)),""),"")</f>
        <v/>
      </c>
      <c r="E49" s="5">
        <f>IF(AND(ISNUMBER(C49),ISNUMBER(D49),C49&gt;=0.2,C49&lt;=0.8),D49,"")</f>
        <v/>
      </c>
      <c r="F49" s="5">
        <f>IF(ISNUMBER(E49),A49,"")</f>
        <v/>
      </c>
      <c r="G49" s="5">
        <f>IF(AND(ISNUMBER(E49),ISNUMBER($K$4)),E49-($K$7+$K$4*A49),"")</f>
        <v/>
      </c>
    </row>
    <row r="50">
      <c r="A50" s="4" t="n"/>
      <c r="B50" s="4" t="n"/>
      <c r="C50" s="5">
        <f>IF(AND(ISNUMBER(A50),ISNUMBER(B50),ISNUMBER($K$2),ISNUMBER($K$3),$K$3&gt;$K$2),(B50-$K$2)/($K$3-$K$2),"")</f>
        <v/>
      </c>
      <c r="D50" s="5">
        <f>IF(ISNUMBER(C50),IF(B50&lt;$K$3,LN(($K$3-$K$2)/($K$3-B50)),""),"")</f>
        <v/>
      </c>
      <c r="E50" s="5">
        <f>IF(AND(ISNUMBER(C50),ISNUMBER(D50),C50&gt;=0.2,C50&lt;=0.8),D50,"")</f>
        <v/>
      </c>
      <c r="F50" s="5">
        <f>IF(ISNUMBER(E50),A50,"")</f>
        <v/>
      </c>
      <c r="G50" s="5">
        <f>IF(AND(ISNUMBER(E50),ISNUMBER($K$4)),E50-($K$7+$K$4*A50),"")</f>
        <v/>
      </c>
    </row>
    <row r="51">
      <c r="A51" s="4" t="n"/>
      <c r="B51" s="4" t="n"/>
      <c r="C51" s="5">
        <f>IF(AND(ISNUMBER(A51),ISNUMBER(B51),ISNUMBER($K$2),ISNUMBER($K$3),$K$3&gt;$K$2),(B51-$K$2)/($K$3-$K$2),"")</f>
        <v/>
      </c>
      <c r="D51" s="5">
        <f>IF(ISNUMBER(C51),IF(B51&lt;$K$3,LN(($K$3-$K$2)/($K$3-B51)),""),"")</f>
        <v/>
      </c>
      <c r="E51" s="5">
        <f>IF(AND(ISNUMBER(C51),ISNUMBER(D51),C51&gt;=0.2,C51&lt;=0.8),D51,"")</f>
        <v/>
      </c>
      <c r="F51" s="5">
        <f>IF(ISNUMBER(E51),A51,"")</f>
        <v/>
      </c>
      <c r="G51" s="5">
        <f>IF(AND(ISNUMBER(E51),ISNUMBER($K$4)),E51-($K$7+$K$4*A51),"")</f>
        <v/>
      </c>
    </row>
    <row r="52">
      <c r="A52" s="4" t="n"/>
      <c r="B52" s="4" t="n"/>
      <c r="C52" s="5">
        <f>IF(AND(ISNUMBER(A52),ISNUMBER(B52),ISNUMBER($K$2),ISNUMBER($K$3),$K$3&gt;$K$2),(B52-$K$2)/($K$3-$K$2),"")</f>
        <v/>
      </c>
      <c r="D52" s="5">
        <f>IF(ISNUMBER(C52),IF(B52&lt;$K$3,LN(($K$3-$K$2)/($K$3-B52)),""),"")</f>
        <v/>
      </c>
      <c r="E52" s="5">
        <f>IF(AND(ISNUMBER(C52),ISNUMBER(D52),C52&gt;=0.2,C52&lt;=0.8),D52,"")</f>
        <v/>
      </c>
      <c r="F52" s="5">
        <f>IF(ISNUMBER(E52),A52,"")</f>
        <v/>
      </c>
      <c r="G52" s="5">
        <f>IF(AND(ISNUMBER(E52),ISNUMBER($K$4)),E52-($K$7+$K$4*A52),"")</f>
        <v/>
      </c>
    </row>
    <row r="53">
      <c r="A53" s="4" t="n"/>
      <c r="B53" s="4" t="n"/>
      <c r="C53" s="5">
        <f>IF(AND(ISNUMBER(A53),ISNUMBER(B53),ISNUMBER($K$2),ISNUMBER($K$3),$K$3&gt;$K$2),(B53-$K$2)/($K$3-$K$2),"")</f>
        <v/>
      </c>
      <c r="D53" s="5">
        <f>IF(ISNUMBER(C53),IF(B53&lt;$K$3,LN(($K$3-$K$2)/($K$3-B53)),""),"")</f>
        <v/>
      </c>
      <c r="E53" s="5">
        <f>IF(AND(ISNUMBER(C53),ISNUMBER(D53),C53&gt;=0.2,C53&lt;=0.8),D53,"")</f>
        <v/>
      </c>
      <c r="F53" s="5">
        <f>IF(ISNUMBER(E53),A53,"")</f>
        <v/>
      </c>
      <c r="G53" s="5">
        <f>IF(AND(ISNUMBER(E53),ISNUMBER($K$4)),E53-($K$7+$K$4*A53),"")</f>
        <v/>
      </c>
    </row>
    <row r="54">
      <c r="A54" s="4" t="n"/>
      <c r="B54" s="4" t="n"/>
      <c r="C54" s="5">
        <f>IF(AND(ISNUMBER(A54),ISNUMBER(B54),ISNUMBER($K$2),ISNUMBER($K$3),$K$3&gt;$K$2),(B54-$K$2)/($K$3-$K$2),"")</f>
        <v/>
      </c>
      <c r="D54" s="5">
        <f>IF(ISNUMBER(C54),IF(B54&lt;$K$3,LN(($K$3-$K$2)/($K$3-B54)),""),"")</f>
        <v/>
      </c>
      <c r="E54" s="5">
        <f>IF(AND(ISNUMBER(C54),ISNUMBER(D54),C54&gt;=0.2,C54&lt;=0.8),D54,"")</f>
        <v/>
      </c>
      <c r="F54" s="5">
        <f>IF(ISNUMBER(E54),A54,"")</f>
        <v/>
      </c>
      <c r="G54" s="5">
        <f>IF(AND(ISNUMBER(E54),ISNUMBER($K$4)),E54-($K$7+$K$4*A54),"")</f>
        <v/>
      </c>
    </row>
    <row r="55">
      <c r="A55" s="4" t="n"/>
      <c r="B55" s="4" t="n"/>
      <c r="C55" s="5">
        <f>IF(AND(ISNUMBER(A55),ISNUMBER(B55),ISNUMBER($K$2),ISNUMBER($K$3),$K$3&gt;$K$2),(B55-$K$2)/($K$3-$K$2),"")</f>
        <v/>
      </c>
      <c r="D55" s="5">
        <f>IF(ISNUMBER(C55),IF(B55&lt;$K$3,LN(($K$3-$K$2)/($K$3-B55)),""),"")</f>
        <v/>
      </c>
      <c r="E55" s="5">
        <f>IF(AND(ISNUMBER(C55),ISNUMBER(D55),C55&gt;=0.2,C55&lt;=0.8),D55,"")</f>
        <v/>
      </c>
      <c r="F55" s="5">
        <f>IF(ISNUMBER(E55),A55,"")</f>
        <v/>
      </c>
      <c r="G55" s="5">
        <f>IF(AND(ISNUMBER(E55),ISNUMBER($K$4)),E55-($K$7+$K$4*A55),"")</f>
        <v/>
      </c>
    </row>
    <row r="56">
      <c r="A56" s="4" t="n"/>
      <c r="B56" s="4" t="n"/>
      <c r="C56" s="5">
        <f>IF(AND(ISNUMBER(A56),ISNUMBER(B56),ISNUMBER($K$2),ISNUMBER($K$3),$K$3&gt;$K$2),(B56-$K$2)/($K$3-$K$2),"")</f>
        <v/>
      </c>
      <c r="D56" s="5">
        <f>IF(ISNUMBER(C56),IF(B56&lt;$K$3,LN(($K$3-$K$2)/($K$3-B56)),""),"")</f>
        <v/>
      </c>
      <c r="E56" s="5">
        <f>IF(AND(ISNUMBER(C56),ISNUMBER(D56),C56&gt;=0.2,C56&lt;=0.8),D56,"")</f>
        <v/>
      </c>
      <c r="F56" s="5">
        <f>IF(ISNUMBER(E56),A56,"")</f>
        <v/>
      </c>
      <c r="G56" s="5">
        <f>IF(AND(ISNUMBER(E56),ISNUMBER($K$4)),E56-($K$7+$K$4*A56),"")</f>
        <v/>
      </c>
    </row>
    <row r="57">
      <c r="A57" s="4" t="n"/>
      <c r="B57" s="4" t="n"/>
      <c r="C57" s="5">
        <f>IF(AND(ISNUMBER(A57),ISNUMBER(B57),ISNUMBER($K$2),ISNUMBER($K$3),$K$3&gt;$K$2),(B57-$K$2)/($K$3-$K$2),"")</f>
        <v/>
      </c>
      <c r="D57" s="5">
        <f>IF(ISNUMBER(C57),IF(B57&lt;$K$3,LN(($K$3-$K$2)/($K$3-B57)),""),"")</f>
        <v/>
      </c>
      <c r="E57" s="5">
        <f>IF(AND(ISNUMBER(C57),ISNUMBER(D57),C57&gt;=0.2,C57&lt;=0.8),D57,"")</f>
        <v/>
      </c>
      <c r="F57" s="5">
        <f>IF(ISNUMBER(E57),A57,"")</f>
        <v/>
      </c>
      <c r="G57" s="5">
        <f>IF(AND(ISNUMBER(E57),ISNUMBER($K$4)),E57-($K$7+$K$4*A57),"")</f>
        <v/>
      </c>
    </row>
    <row r="58">
      <c r="A58" s="4" t="n"/>
      <c r="B58" s="4" t="n"/>
      <c r="C58" s="5">
        <f>IF(AND(ISNUMBER(A58),ISNUMBER(B58),ISNUMBER($K$2),ISNUMBER($K$3),$K$3&gt;$K$2),(B58-$K$2)/($K$3-$K$2),"")</f>
        <v/>
      </c>
      <c r="D58" s="5">
        <f>IF(ISNUMBER(C58),IF(B58&lt;$K$3,LN(($K$3-$K$2)/($K$3-B58)),""),"")</f>
        <v/>
      </c>
      <c r="E58" s="5">
        <f>IF(AND(ISNUMBER(C58),ISNUMBER(D58),C58&gt;=0.2,C58&lt;=0.8),D58,"")</f>
        <v/>
      </c>
      <c r="F58" s="5">
        <f>IF(ISNUMBER(E58),A58,"")</f>
        <v/>
      </c>
      <c r="G58" s="5">
        <f>IF(AND(ISNUMBER(E58),ISNUMBER($K$4)),E58-($K$7+$K$4*A58),"")</f>
        <v/>
      </c>
    </row>
    <row r="59">
      <c r="A59" s="4" t="n"/>
      <c r="B59" s="4" t="n"/>
      <c r="C59" s="5">
        <f>IF(AND(ISNUMBER(A59),ISNUMBER(B59),ISNUMBER($K$2),ISNUMBER($K$3),$K$3&gt;$K$2),(B59-$K$2)/($K$3-$K$2),"")</f>
        <v/>
      </c>
      <c r="D59" s="5">
        <f>IF(ISNUMBER(C59),IF(B59&lt;$K$3,LN(($K$3-$K$2)/($K$3-B59)),""),"")</f>
        <v/>
      </c>
      <c r="E59" s="5">
        <f>IF(AND(ISNUMBER(C59),ISNUMBER(D59),C59&gt;=0.2,C59&lt;=0.8),D59,"")</f>
        <v/>
      </c>
      <c r="F59" s="5">
        <f>IF(ISNUMBER(E59),A59,"")</f>
        <v/>
      </c>
      <c r="G59" s="5">
        <f>IF(AND(ISNUMBER(E59),ISNUMBER($K$4)),E59-($K$7+$K$4*A59),"")</f>
        <v/>
      </c>
    </row>
    <row r="60">
      <c r="A60" s="4" t="n"/>
      <c r="B60" s="4" t="n"/>
      <c r="C60" s="5">
        <f>IF(AND(ISNUMBER(A60),ISNUMBER(B60),ISNUMBER($K$2),ISNUMBER($K$3),$K$3&gt;$K$2),(B60-$K$2)/($K$3-$K$2),"")</f>
        <v/>
      </c>
      <c r="D60" s="5">
        <f>IF(ISNUMBER(C60),IF(B60&lt;$K$3,LN(($K$3-$K$2)/($K$3-B60)),""),"")</f>
        <v/>
      </c>
      <c r="E60" s="5">
        <f>IF(AND(ISNUMBER(C60),ISNUMBER(D60),C60&gt;=0.2,C60&lt;=0.8),D60,"")</f>
        <v/>
      </c>
      <c r="F60" s="5">
        <f>IF(ISNUMBER(E60),A60,"")</f>
        <v/>
      </c>
      <c r="G60" s="5">
        <f>IF(AND(ISNUMBER(E60),ISNUMBER($K$4)),E60-($K$7+$K$4*A60),"")</f>
        <v/>
      </c>
    </row>
    <row r="61">
      <c r="A61" s="4" t="n"/>
      <c r="B61" s="4" t="n"/>
      <c r="C61" s="5">
        <f>IF(AND(ISNUMBER(A61),ISNUMBER(B61),ISNUMBER($K$2),ISNUMBER($K$3),$K$3&gt;$K$2),(B61-$K$2)/($K$3-$K$2),"")</f>
        <v/>
      </c>
      <c r="D61" s="5">
        <f>IF(ISNUMBER(C61),IF(B61&lt;$K$3,LN(($K$3-$K$2)/($K$3-B61)),""),"")</f>
        <v/>
      </c>
      <c r="E61" s="5">
        <f>IF(AND(ISNUMBER(C61),ISNUMBER(D61),C61&gt;=0.2,C61&lt;=0.8),D61,"")</f>
        <v/>
      </c>
      <c r="F61" s="5">
        <f>IF(ISNUMBER(E61),A61,"")</f>
        <v/>
      </c>
      <c r="G61" s="5">
        <f>IF(AND(ISNUMBER(E61),ISNUMBER($K$4)),E61-($K$7+$K$4*A61),"")</f>
        <v/>
      </c>
    </row>
    <row r="62">
      <c r="A62" s="4" t="n"/>
      <c r="B62" s="4" t="n"/>
      <c r="C62" s="5">
        <f>IF(AND(ISNUMBER(A62),ISNUMBER(B62),ISNUMBER($K$2),ISNUMBER($K$3),$K$3&gt;$K$2),(B62-$K$2)/($K$3-$K$2),"")</f>
        <v/>
      </c>
      <c r="D62" s="5">
        <f>IF(ISNUMBER(C62),IF(B62&lt;$K$3,LN(($K$3-$K$2)/($K$3-B62)),""),"")</f>
        <v/>
      </c>
      <c r="E62" s="5">
        <f>IF(AND(ISNUMBER(C62),ISNUMBER(D62),C62&gt;=0.2,C62&lt;=0.8),D62,"")</f>
        <v/>
      </c>
      <c r="F62" s="5">
        <f>IF(ISNUMBER(E62),A62,"")</f>
        <v/>
      </c>
      <c r="G62" s="5">
        <f>IF(AND(ISNUMBER(E62),ISNUMBER($K$4)),E62-($K$7+$K$4*A62),"")</f>
        <v/>
      </c>
    </row>
    <row r="63">
      <c r="A63" s="4" t="n"/>
      <c r="B63" s="4" t="n"/>
      <c r="C63" s="5">
        <f>IF(AND(ISNUMBER(A63),ISNUMBER(B63),ISNUMBER($K$2),ISNUMBER($K$3),$K$3&gt;$K$2),(B63-$K$2)/($K$3-$K$2),"")</f>
        <v/>
      </c>
      <c r="D63" s="5">
        <f>IF(ISNUMBER(C63),IF(B63&lt;$K$3,LN(($K$3-$K$2)/($K$3-B63)),""),"")</f>
        <v/>
      </c>
      <c r="E63" s="5">
        <f>IF(AND(ISNUMBER(C63),ISNUMBER(D63),C63&gt;=0.2,C63&lt;=0.8),D63,"")</f>
        <v/>
      </c>
      <c r="F63" s="5">
        <f>IF(ISNUMBER(E63),A63,"")</f>
        <v/>
      </c>
      <c r="G63" s="5">
        <f>IF(AND(ISNUMBER(E63),ISNUMBER($K$4)),E63-($K$7+$K$4*A63),"")</f>
        <v/>
      </c>
    </row>
    <row r="64">
      <c r="A64" s="4" t="n"/>
      <c r="B64" s="4" t="n"/>
      <c r="C64" s="5">
        <f>IF(AND(ISNUMBER(A64),ISNUMBER(B64),ISNUMBER($K$2),ISNUMBER($K$3),$K$3&gt;$K$2),(B64-$K$2)/($K$3-$K$2),"")</f>
        <v/>
      </c>
      <c r="D64" s="5">
        <f>IF(ISNUMBER(C64),IF(B64&lt;$K$3,LN(($K$3-$K$2)/($K$3-B64)),""),"")</f>
        <v/>
      </c>
      <c r="E64" s="5">
        <f>IF(AND(ISNUMBER(C64),ISNUMBER(D64),C64&gt;=0.2,C64&lt;=0.8),D64,"")</f>
        <v/>
      </c>
      <c r="F64" s="5">
        <f>IF(ISNUMBER(E64),A64,"")</f>
        <v/>
      </c>
      <c r="G64" s="5">
        <f>IF(AND(ISNUMBER(E64),ISNUMBER($K$4)),E64-($K$7+$K$4*A64),"")</f>
        <v/>
      </c>
    </row>
    <row r="65">
      <c r="A65" s="4" t="n"/>
      <c r="B65" s="4" t="n"/>
      <c r="C65" s="5">
        <f>IF(AND(ISNUMBER(A65),ISNUMBER(B65),ISNUMBER($K$2),ISNUMBER($K$3),$K$3&gt;$K$2),(B65-$K$2)/($K$3-$K$2),"")</f>
        <v/>
      </c>
      <c r="D65" s="5">
        <f>IF(ISNUMBER(C65),IF(B65&lt;$K$3,LN(($K$3-$K$2)/($K$3-B65)),""),"")</f>
        <v/>
      </c>
      <c r="E65" s="5">
        <f>IF(AND(ISNUMBER(C65),ISNUMBER(D65),C65&gt;=0.2,C65&lt;=0.8),D65,"")</f>
        <v/>
      </c>
      <c r="F65" s="5">
        <f>IF(ISNUMBER(E65),A65,"")</f>
        <v/>
      </c>
      <c r="G65" s="5">
        <f>IF(AND(ISNUMBER(E65),ISNUMBER($K$4)),E65-($K$7+$K$4*A65),"")</f>
        <v/>
      </c>
    </row>
    <row r="66">
      <c r="A66" s="4" t="n"/>
      <c r="B66" s="4" t="n"/>
      <c r="C66" s="5">
        <f>IF(AND(ISNUMBER(A66),ISNUMBER(B66),ISNUMBER($K$2),ISNUMBER($K$3),$K$3&gt;$K$2),(B66-$K$2)/($K$3-$K$2),"")</f>
        <v/>
      </c>
      <c r="D66" s="5">
        <f>IF(ISNUMBER(C66),IF(B66&lt;$K$3,LN(($K$3-$K$2)/($K$3-B66)),""),"")</f>
        <v/>
      </c>
      <c r="E66" s="5">
        <f>IF(AND(ISNUMBER(C66),ISNUMBER(D66),C66&gt;=0.2,C66&lt;=0.8),D66,"")</f>
        <v/>
      </c>
      <c r="F66" s="5">
        <f>IF(ISNUMBER(E66),A66,"")</f>
        <v/>
      </c>
      <c r="G66" s="5">
        <f>IF(AND(ISNUMBER(E66),ISNUMBER($K$4)),E66-($K$7+$K$4*A66),"")</f>
        <v/>
      </c>
    </row>
    <row r="67">
      <c r="A67" s="4" t="n"/>
      <c r="B67" s="4" t="n"/>
      <c r="C67" s="5">
        <f>IF(AND(ISNUMBER(A67),ISNUMBER(B67),ISNUMBER($K$2),ISNUMBER($K$3),$K$3&gt;$K$2),(B67-$K$2)/($K$3-$K$2),"")</f>
        <v/>
      </c>
      <c r="D67" s="5">
        <f>IF(ISNUMBER(C67),IF(B67&lt;$K$3,LN(($K$3-$K$2)/($K$3-B67)),""),"")</f>
        <v/>
      </c>
      <c r="E67" s="5">
        <f>IF(AND(ISNUMBER(C67),ISNUMBER(D67),C67&gt;=0.2,C67&lt;=0.8),D67,"")</f>
        <v/>
      </c>
      <c r="F67" s="5">
        <f>IF(ISNUMBER(E67),A67,"")</f>
        <v/>
      </c>
      <c r="G67" s="5">
        <f>IF(AND(ISNUMBER(E67),ISNUMBER($K$4)),E67-($K$7+$K$4*A67),"")</f>
        <v/>
      </c>
    </row>
    <row r="68">
      <c r="A68" s="4" t="n"/>
      <c r="B68" s="4" t="n"/>
      <c r="C68" s="5">
        <f>IF(AND(ISNUMBER(A68),ISNUMBER(B68),ISNUMBER($K$2),ISNUMBER($K$3),$K$3&gt;$K$2),(B68-$K$2)/($K$3-$K$2),"")</f>
        <v/>
      </c>
      <c r="D68" s="5">
        <f>IF(ISNUMBER(C68),IF(B68&lt;$K$3,LN(($K$3-$K$2)/($K$3-B68)),""),"")</f>
        <v/>
      </c>
      <c r="E68" s="5">
        <f>IF(AND(ISNUMBER(C68),ISNUMBER(D68),C68&gt;=0.2,C68&lt;=0.8),D68,"")</f>
        <v/>
      </c>
      <c r="F68" s="5">
        <f>IF(ISNUMBER(E68),A68,"")</f>
        <v/>
      </c>
      <c r="G68" s="5">
        <f>IF(AND(ISNUMBER(E68),ISNUMBER($K$4)),E68-($K$7+$K$4*A68),"")</f>
        <v/>
      </c>
    </row>
    <row r="69">
      <c r="A69" s="4" t="n"/>
      <c r="B69" s="4" t="n"/>
      <c r="C69" s="5">
        <f>IF(AND(ISNUMBER(A69),ISNUMBER(B69),ISNUMBER($K$2),ISNUMBER($K$3),$K$3&gt;$K$2),(B69-$K$2)/($K$3-$K$2),"")</f>
        <v/>
      </c>
      <c r="D69" s="5">
        <f>IF(ISNUMBER(C69),IF(B69&lt;$K$3,LN(($K$3-$K$2)/($K$3-B69)),""),"")</f>
        <v/>
      </c>
      <c r="E69" s="5">
        <f>IF(AND(ISNUMBER(C69),ISNUMBER(D69),C69&gt;=0.2,C69&lt;=0.8),D69,"")</f>
        <v/>
      </c>
      <c r="F69" s="5">
        <f>IF(ISNUMBER(E69),A69,"")</f>
        <v/>
      </c>
      <c r="G69" s="5">
        <f>IF(AND(ISNUMBER(E69),ISNUMBER($K$4)),E69-($K$7+$K$4*A69),"")</f>
        <v/>
      </c>
    </row>
    <row r="70">
      <c r="A70" s="4" t="n"/>
      <c r="B70" s="4" t="n"/>
      <c r="C70" s="5">
        <f>IF(AND(ISNUMBER(A70),ISNUMBER(B70),ISNUMBER($K$2),ISNUMBER($K$3),$K$3&gt;$K$2),(B70-$K$2)/($K$3-$K$2),"")</f>
        <v/>
      </c>
      <c r="D70" s="5">
        <f>IF(ISNUMBER(C70),IF(B70&lt;$K$3,LN(($K$3-$K$2)/($K$3-B70)),""),"")</f>
        <v/>
      </c>
      <c r="E70" s="5">
        <f>IF(AND(ISNUMBER(C70),ISNUMBER(D70),C70&gt;=0.2,C70&lt;=0.8),D70,"")</f>
        <v/>
      </c>
      <c r="F70" s="5">
        <f>IF(ISNUMBER(E70),A70,"")</f>
        <v/>
      </c>
      <c r="G70" s="5">
        <f>IF(AND(ISNUMBER(E70),ISNUMBER($K$4)),E70-($K$7+$K$4*A70),"")</f>
        <v/>
      </c>
    </row>
    <row r="71">
      <c r="A71" s="4" t="n"/>
      <c r="B71" s="4" t="n"/>
      <c r="C71" s="5">
        <f>IF(AND(ISNUMBER(A71),ISNUMBER(B71),ISNUMBER($K$2),ISNUMBER($K$3),$K$3&gt;$K$2),(B71-$K$2)/($K$3-$K$2),"")</f>
        <v/>
      </c>
      <c r="D71" s="5">
        <f>IF(ISNUMBER(C71),IF(B71&lt;$K$3,LN(($K$3-$K$2)/($K$3-B71)),""),"")</f>
        <v/>
      </c>
      <c r="E71" s="5">
        <f>IF(AND(ISNUMBER(C71),ISNUMBER(D71),C71&gt;=0.2,C71&lt;=0.8),D71,"")</f>
        <v/>
      </c>
      <c r="F71" s="5">
        <f>IF(ISNUMBER(E71),A71,"")</f>
        <v/>
      </c>
      <c r="G71" s="5">
        <f>IF(AND(ISNUMBER(E71),ISNUMBER($K$4)),E71-($K$7+$K$4*A71),"")</f>
        <v/>
      </c>
    </row>
    <row r="72">
      <c r="A72" s="4" t="n"/>
      <c r="B72" s="4" t="n"/>
      <c r="C72" s="5">
        <f>IF(AND(ISNUMBER(A72),ISNUMBER(B72),ISNUMBER($K$2),ISNUMBER($K$3),$K$3&gt;$K$2),(B72-$K$2)/($K$3-$K$2),"")</f>
        <v/>
      </c>
      <c r="D72" s="5">
        <f>IF(ISNUMBER(C72),IF(B72&lt;$K$3,LN(($K$3-$K$2)/($K$3-B72)),""),"")</f>
        <v/>
      </c>
      <c r="E72" s="5">
        <f>IF(AND(ISNUMBER(C72),ISNUMBER(D72),C72&gt;=0.2,C72&lt;=0.8),D72,"")</f>
        <v/>
      </c>
      <c r="F72" s="5">
        <f>IF(ISNUMBER(E72),A72,"")</f>
        <v/>
      </c>
      <c r="G72" s="5">
        <f>IF(AND(ISNUMBER(E72),ISNUMBER($K$4)),E72-($K$7+$K$4*A72),"")</f>
        <v/>
      </c>
    </row>
    <row r="73">
      <c r="A73" s="4" t="n"/>
      <c r="B73" s="4" t="n"/>
      <c r="C73" s="5">
        <f>IF(AND(ISNUMBER(A73),ISNUMBER(B73),ISNUMBER($K$2),ISNUMBER($K$3),$K$3&gt;$K$2),(B73-$K$2)/($K$3-$K$2),"")</f>
        <v/>
      </c>
      <c r="D73" s="5">
        <f>IF(ISNUMBER(C73),IF(B73&lt;$K$3,LN(($K$3-$K$2)/($K$3-B73)),""),"")</f>
        <v/>
      </c>
      <c r="E73" s="5">
        <f>IF(AND(ISNUMBER(C73),ISNUMBER(D73),C73&gt;=0.2,C73&lt;=0.8),D73,"")</f>
        <v/>
      </c>
      <c r="F73" s="5">
        <f>IF(ISNUMBER(E73),A73,"")</f>
        <v/>
      </c>
      <c r="G73" s="5">
        <f>IF(AND(ISNUMBER(E73),ISNUMBER($K$4)),E73-($K$7+$K$4*A73),"")</f>
        <v/>
      </c>
    </row>
    <row r="74">
      <c r="A74" s="4" t="n"/>
      <c r="B74" s="4" t="n"/>
      <c r="C74" s="5">
        <f>IF(AND(ISNUMBER(A74),ISNUMBER(B74),ISNUMBER($K$2),ISNUMBER($K$3),$K$3&gt;$K$2),(B74-$K$2)/($K$3-$K$2),"")</f>
        <v/>
      </c>
      <c r="D74" s="5">
        <f>IF(ISNUMBER(C74),IF(B74&lt;$K$3,LN(($K$3-$K$2)/($K$3-B74)),""),"")</f>
        <v/>
      </c>
      <c r="E74" s="5">
        <f>IF(AND(ISNUMBER(C74),ISNUMBER(D74),C74&gt;=0.2,C74&lt;=0.8),D74,"")</f>
        <v/>
      </c>
      <c r="F74" s="5">
        <f>IF(ISNUMBER(E74),A74,"")</f>
        <v/>
      </c>
      <c r="G74" s="5">
        <f>IF(AND(ISNUMBER(E74),ISNUMBER($K$4)),E74-($K$7+$K$4*A74),"")</f>
        <v/>
      </c>
    </row>
    <row r="75">
      <c r="A75" s="4" t="n"/>
      <c r="B75" s="4" t="n"/>
      <c r="C75" s="5">
        <f>IF(AND(ISNUMBER(A75),ISNUMBER(B75),ISNUMBER($K$2),ISNUMBER($K$3),$K$3&gt;$K$2),(B75-$K$2)/($K$3-$K$2),"")</f>
        <v/>
      </c>
      <c r="D75" s="5">
        <f>IF(ISNUMBER(C75),IF(B75&lt;$K$3,LN(($K$3-$K$2)/($K$3-B75)),""),"")</f>
        <v/>
      </c>
      <c r="E75" s="5">
        <f>IF(AND(ISNUMBER(C75),ISNUMBER(D75),C75&gt;=0.2,C75&lt;=0.8),D75,"")</f>
        <v/>
      </c>
      <c r="F75" s="5">
        <f>IF(ISNUMBER(E75),A75,"")</f>
        <v/>
      </c>
      <c r="G75" s="5">
        <f>IF(AND(ISNUMBER(E75),ISNUMBER($K$4)),E75-($K$7+$K$4*A75),"")</f>
        <v/>
      </c>
    </row>
    <row r="76">
      <c r="A76" s="4" t="n"/>
      <c r="B76" s="4" t="n"/>
      <c r="C76" s="5">
        <f>IF(AND(ISNUMBER(A76),ISNUMBER(B76),ISNUMBER($K$2),ISNUMBER($K$3),$K$3&gt;$K$2),(B76-$K$2)/($K$3-$K$2),"")</f>
        <v/>
      </c>
      <c r="D76" s="5">
        <f>IF(ISNUMBER(C76),IF(B76&lt;$K$3,LN(($K$3-$K$2)/($K$3-B76)),""),"")</f>
        <v/>
      </c>
      <c r="E76" s="5">
        <f>IF(AND(ISNUMBER(C76),ISNUMBER(D76),C76&gt;=0.2,C76&lt;=0.8),D76,"")</f>
        <v/>
      </c>
      <c r="F76" s="5">
        <f>IF(ISNUMBER(E76),A76,"")</f>
        <v/>
      </c>
      <c r="G76" s="5">
        <f>IF(AND(ISNUMBER(E76),ISNUMBER($K$4)),E76-($K$7+$K$4*A76),"")</f>
        <v/>
      </c>
    </row>
    <row r="77">
      <c r="A77" s="4" t="n"/>
      <c r="B77" s="4" t="n"/>
      <c r="C77" s="5">
        <f>IF(AND(ISNUMBER(A77),ISNUMBER(B77),ISNUMBER($K$2),ISNUMBER($K$3),$K$3&gt;$K$2),(B77-$K$2)/($K$3-$K$2),"")</f>
        <v/>
      </c>
      <c r="D77" s="5">
        <f>IF(ISNUMBER(C77),IF(B77&lt;$K$3,LN(($K$3-$K$2)/($K$3-B77)),""),"")</f>
        <v/>
      </c>
      <c r="E77" s="5">
        <f>IF(AND(ISNUMBER(C77),ISNUMBER(D77),C77&gt;=0.2,C77&lt;=0.8),D77,"")</f>
        <v/>
      </c>
      <c r="F77" s="5">
        <f>IF(ISNUMBER(E77),A77,"")</f>
        <v/>
      </c>
      <c r="G77" s="5">
        <f>IF(AND(ISNUMBER(E77),ISNUMBER($K$4)),E77-($K$7+$K$4*A77),"")</f>
        <v/>
      </c>
    </row>
    <row r="78">
      <c r="A78" s="4" t="n"/>
      <c r="B78" s="4" t="n"/>
      <c r="C78" s="5">
        <f>IF(AND(ISNUMBER(A78),ISNUMBER(B78),ISNUMBER($K$2),ISNUMBER($K$3),$K$3&gt;$K$2),(B78-$K$2)/($K$3-$K$2),"")</f>
        <v/>
      </c>
      <c r="D78" s="5">
        <f>IF(ISNUMBER(C78),IF(B78&lt;$K$3,LN(($K$3-$K$2)/($K$3-B78)),""),"")</f>
        <v/>
      </c>
      <c r="E78" s="5">
        <f>IF(AND(ISNUMBER(C78),ISNUMBER(D78),C78&gt;=0.2,C78&lt;=0.8),D78,"")</f>
        <v/>
      </c>
      <c r="F78" s="5">
        <f>IF(ISNUMBER(E78),A78,"")</f>
        <v/>
      </c>
      <c r="G78" s="5">
        <f>IF(AND(ISNUMBER(E78),ISNUMBER($K$4)),E78-($K$7+$K$4*A78),"")</f>
        <v/>
      </c>
    </row>
    <row r="79">
      <c r="A79" s="4" t="n"/>
      <c r="B79" s="4" t="n"/>
      <c r="C79" s="5">
        <f>IF(AND(ISNUMBER(A79),ISNUMBER(B79),ISNUMBER($K$2),ISNUMBER($K$3),$K$3&gt;$K$2),(B79-$K$2)/($K$3-$K$2),"")</f>
        <v/>
      </c>
      <c r="D79" s="5">
        <f>IF(ISNUMBER(C79),IF(B79&lt;$K$3,LN(($K$3-$K$2)/($K$3-B79)),""),"")</f>
        <v/>
      </c>
      <c r="E79" s="5">
        <f>IF(AND(ISNUMBER(C79),ISNUMBER(D79),C79&gt;=0.2,C79&lt;=0.8),D79,"")</f>
        <v/>
      </c>
      <c r="F79" s="5">
        <f>IF(ISNUMBER(E79),A79,"")</f>
        <v/>
      </c>
      <c r="G79" s="5">
        <f>IF(AND(ISNUMBER(E79),ISNUMBER($K$4)),E79-($K$7+$K$4*A79),"")</f>
        <v/>
      </c>
    </row>
    <row r="80">
      <c r="A80" s="4" t="n"/>
      <c r="B80" s="4" t="n"/>
      <c r="C80" s="5">
        <f>IF(AND(ISNUMBER(A80),ISNUMBER(B80),ISNUMBER($K$2),ISNUMBER($K$3),$K$3&gt;$K$2),(B80-$K$2)/($K$3-$K$2),"")</f>
        <v/>
      </c>
      <c r="D80" s="5">
        <f>IF(ISNUMBER(C80),IF(B80&lt;$K$3,LN(($K$3-$K$2)/($K$3-B80)),""),"")</f>
        <v/>
      </c>
      <c r="E80" s="5">
        <f>IF(AND(ISNUMBER(C80),ISNUMBER(D80),C80&gt;=0.2,C80&lt;=0.8),D80,"")</f>
        <v/>
      </c>
      <c r="F80" s="5">
        <f>IF(ISNUMBER(E80),A80,"")</f>
        <v/>
      </c>
      <c r="G80" s="5">
        <f>IF(AND(ISNUMBER(E80),ISNUMBER($K$4)),E80-($K$7+$K$4*A80),"")</f>
        <v/>
      </c>
    </row>
    <row r="81">
      <c r="A81" s="4" t="n"/>
      <c r="B81" s="4" t="n"/>
      <c r="C81" s="5">
        <f>IF(AND(ISNUMBER(A81),ISNUMBER(B81),ISNUMBER($K$2),ISNUMBER($K$3),$K$3&gt;$K$2),(B81-$K$2)/($K$3-$K$2),"")</f>
        <v/>
      </c>
      <c r="D81" s="5">
        <f>IF(ISNUMBER(C81),IF(B81&lt;$K$3,LN(($K$3-$K$2)/($K$3-B81)),""),"")</f>
        <v/>
      </c>
      <c r="E81" s="5">
        <f>IF(AND(ISNUMBER(C81),ISNUMBER(D81),C81&gt;=0.2,C81&lt;=0.8),D81,"")</f>
        <v/>
      </c>
      <c r="F81" s="5">
        <f>IF(ISNUMBER(E81),A81,"")</f>
        <v/>
      </c>
      <c r="G81" s="5">
        <f>IF(AND(ISNUMBER(E81),ISNUMBER($K$4)),E81-($K$7+$K$4*A81),"")</f>
        <v/>
      </c>
    </row>
    <row r="82">
      <c r="A82" s="4" t="n"/>
      <c r="B82" s="4" t="n"/>
      <c r="C82" s="5">
        <f>IF(AND(ISNUMBER(A82),ISNUMBER(B82),ISNUMBER($K$2),ISNUMBER($K$3),$K$3&gt;$K$2),(B82-$K$2)/($K$3-$K$2),"")</f>
        <v/>
      </c>
      <c r="D82" s="5">
        <f>IF(ISNUMBER(C82),IF(B82&lt;$K$3,LN(($K$3-$K$2)/($K$3-B82)),""),"")</f>
        <v/>
      </c>
      <c r="E82" s="5">
        <f>IF(AND(ISNUMBER(C82),ISNUMBER(D82),C82&gt;=0.2,C82&lt;=0.8),D82,"")</f>
        <v/>
      </c>
      <c r="F82" s="5">
        <f>IF(ISNUMBER(E82),A82,"")</f>
        <v/>
      </c>
      <c r="G82" s="5">
        <f>IF(AND(ISNUMBER(E82),ISNUMBER($K$4)),E82-($K$7+$K$4*A82),"")</f>
        <v/>
      </c>
    </row>
    <row r="83">
      <c r="A83" s="4" t="n"/>
      <c r="B83" s="4" t="n"/>
      <c r="C83" s="5">
        <f>IF(AND(ISNUMBER(A83),ISNUMBER(B83),ISNUMBER($K$2),ISNUMBER($K$3),$K$3&gt;$K$2),(B83-$K$2)/($K$3-$K$2),"")</f>
        <v/>
      </c>
      <c r="D83" s="5">
        <f>IF(ISNUMBER(C83),IF(B83&lt;$K$3,LN(($K$3-$K$2)/($K$3-B83)),""),"")</f>
        <v/>
      </c>
      <c r="E83" s="5">
        <f>IF(AND(ISNUMBER(C83),ISNUMBER(D83),C83&gt;=0.2,C83&lt;=0.8),D83,"")</f>
        <v/>
      </c>
      <c r="F83" s="5">
        <f>IF(ISNUMBER(E83),A83,"")</f>
        <v/>
      </c>
      <c r="G83" s="5">
        <f>IF(AND(ISNUMBER(E83),ISNUMBER($K$4)),E83-($K$7+$K$4*A83),"")</f>
        <v/>
      </c>
    </row>
    <row r="84">
      <c r="A84" s="4" t="n"/>
      <c r="B84" s="4" t="n"/>
      <c r="C84" s="5">
        <f>IF(AND(ISNUMBER(A84),ISNUMBER(B84),ISNUMBER($K$2),ISNUMBER($K$3),$K$3&gt;$K$2),(B84-$K$2)/($K$3-$K$2),"")</f>
        <v/>
      </c>
      <c r="D84" s="5">
        <f>IF(ISNUMBER(C84),IF(B84&lt;$K$3,LN(($K$3-$K$2)/($K$3-B84)),""),"")</f>
        <v/>
      </c>
      <c r="E84" s="5">
        <f>IF(AND(ISNUMBER(C84),ISNUMBER(D84),C84&gt;=0.2,C84&lt;=0.8),D84,"")</f>
        <v/>
      </c>
      <c r="F84" s="5">
        <f>IF(ISNUMBER(E84),A84,"")</f>
        <v/>
      </c>
      <c r="G84" s="5">
        <f>IF(AND(ISNUMBER(E84),ISNUMBER($K$4)),E84-($K$7+$K$4*A84),"")</f>
        <v/>
      </c>
    </row>
    <row r="85">
      <c r="A85" s="4" t="n"/>
      <c r="B85" s="4" t="n"/>
      <c r="C85" s="5">
        <f>IF(AND(ISNUMBER(A85),ISNUMBER(B85),ISNUMBER($K$2),ISNUMBER($K$3),$K$3&gt;$K$2),(B85-$K$2)/($K$3-$K$2),"")</f>
        <v/>
      </c>
      <c r="D85" s="5">
        <f>IF(ISNUMBER(C85),IF(B85&lt;$K$3,LN(($K$3-$K$2)/($K$3-B85)),""),"")</f>
        <v/>
      </c>
      <c r="E85" s="5">
        <f>IF(AND(ISNUMBER(C85),ISNUMBER(D85),C85&gt;=0.2,C85&lt;=0.8),D85,"")</f>
        <v/>
      </c>
      <c r="F85" s="5">
        <f>IF(ISNUMBER(E85),A85,"")</f>
        <v/>
      </c>
      <c r="G85" s="5">
        <f>IF(AND(ISNUMBER(E85),ISNUMBER($K$4)),E85-($K$7+$K$4*A85),"")</f>
        <v/>
      </c>
    </row>
    <row r="86">
      <c r="A86" s="4" t="n"/>
      <c r="B86" s="4" t="n"/>
      <c r="C86" s="5">
        <f>IF(AND(ISNUMBER(A86),ISNUMBER(B86),ISNUMBER($K$2),ISNUMBER($K$3),$K$3&gt;$K$2),(B86-$K$2)/($K$3-$K$2),"")</f>
        <v/>
      </c>
      <c r="D86" s="5">
        <f>IF(ISNUMBER(C86),IF(B86&lt;$K$3,LN(($K$3-$K$2)/($K$3-B86)),""),"")</f>
        <v/>
      </c>
      <c r="E86" s="5">
        <f>IF(AND(ISNUMBER(C86),ISNUMBER(D86),C86&gt;=0.2,C86&lt;=0.8),D86,"")</f>
        <v/>
      </c>
      <c r="F86" s="5">
        <f>IF(ISNUMBER(E86),A86,"")</f>
        <v/>
      </c>
      <c r="G86" s="5">
        <f>IF(AND(ISNUMBER(E86),ISNUMBER($K$4)),E86-($K$7+$K$4*A86),"")</f>
        <v/>
      </c>
    </row>
    <row r="87">
      <c r="A87" s="4" t="n"/>
      <c r="B87" s="4" t="n"/>
      <c r="C87" s="5">
        <f>IF(AND(ISNUMBER(A87),ISNUMBER(B87),ISNUMBER($K$2),ISNUMBER($K$3),$K$3&gt;$K$2),(B87-$K$2)/($K$3-$K$2),"")</f>
        <v/>
      </c>
      <c r="D87" s="5">
        <f>IF(ISNUMBER(C87),IF(B87&lt;$K$3,LN(($K$3-$K$2)/($K$3-B87)),""),"")</f>
        <v/>
      </c>
      <c r="E87" s="5">
        <f>IF(AND(ISNUMBER(C87),ISNUMBER(D87),C87&gt;=0.2,C87&lt;=0.8),D87,"")</f>
        <v/>
      </c>
      <c r="F87" s="5">
        <f>IF(ISNUMBER(E87),A87,"")</f>
        <v/>
      </c>
      <c r="G87" s="5">
        <f>IF(AND(ISNUMBER(E87),ISNUMBER($K$4)),E87-($K$7+$K$4*A87),"")</f>
        <v/>
      </c>
    </row>
    <row r="88">
      <c r="A88" s="4" t="n"/>
      <c r="B88" s="4" t="n"/>
      <c r="C88" s="5">
        <f>IF(AND(ISNUMBER(A88),ISNUMBER(B88),ISNUMBER($K$2),ISNUMBER($K$3),$K$3&gt;$K$2),(B88-$K$2)/($K$3-$K$2),"")</f>
        <v/>
      </c>
      <c r="D88" s="5">
        <f>IF(ISNUMBER(C88),IF(B88&lt;$K$3,LN(($K$3-$K$2)/($K$3-B88)),""),"")</f>
        <v/>
      </c>
      <c r="E88" s="5">
        <f>IF(AND(ISNUMBER(C88),ISNUMBER(D88),C88&gt;=0.2,C88&lt;=0.8),D88,"")</f>
        <v/>
      </c>
      <c r="F88" s="5">
        <f>IF(ISNUMBER(E88),A88,"")</f>
        <v/>
      </c>
      <c r="G88" s="5">
        <f>IF(AND(ISNUMBER(E88),ISNUMBER($K$4)),E88-($K$7+$K$4*A88),"")</f>
        <v/>
      </c>
    </row>
    <row r="89">
      <c r="A89" s="4" t="n"/>
      <c r="B89" s="4" t="n"/>
      <c r="C89" s="5">
        <f>IF(AND(ISNUMBER(A89),ISNUMBER(B89),ISNUMBER($K$2),ISNUMBER($K$3),$K$3&gt;$K$2),(B89-$K$2)/($K$3-$K$2),"")</f>
        <v/>
      </c>
      <c r="D89" s="5">
        <f>IF(ISNUMBER(C89),IF(B89&lt;$K$3,LN(($K$3-$K$2)/($K$3-B89)),""),"")</f>
        <v/>
      </c>
      <c r="E89" s="5">
        <f>IF(AND(ISNUMBER(C89),ISNUMBER(D89),C89&gt;=0.2,C89&lt;=0.8),D89,"")</f>
        <v/>
      </c>
      <c r="F89" s="5">
        <f>IF(ISNUMBER(E89),A89,"")</f>
        <v/>
      </c>
      <c r="G89" s="5">
        <f>IF(AND(ISNUMBER(E89),ISNUMBER($K$4)),E89-($K$7+$K$4*A89),"")</f>
        <v/>
      </c>
    </row>
    <row r="90">
      <c r="A90" s="4" t="n"/>
      <c r="B90" s="4" t="n"/>
      <c r="C90" s="5">
        <f>IF(AND(ISNUMBER(A90),ISNUMBER(B90),ISNUMBER($K$2),ISNUMBER($K$3),$K$3&gt;$K$2),(B90-$K$2)/($K$3-$K$2),"")</f>
        <v/>
      </c>
      <c r="D90" s="5">
        <f>IF(ISNUMBER(C90),IF(B90&lt;$K$3,LN(($K$3-$K$2)/($K$3-B90)),""),"")</f>
        <v/>
      </c>
      <c r="E90" s="5">
        <f>IF(AND(ISNUMBER(C90),ISNUMBER(D90),C90&gt;=0.2,C90&lt;=0.8),D90,"")</f>
        <v/>
      </c>
      <c r="F90" s="5">
        <f>IF(ISNUMBER(E90),A90,"")</f>
        <v/>
      </c>
      <c r="G90" s="5">
        <f>IF(AND(ISNUMBER(E90),ISNUMBER($K$4)),E90-($K$7+$K$4*A90),"")</f>
        <v/>
      </c>
    </row>
    <row r="91">
      <c r="A91" s="4" t="n"/>
      <c r="B91" s="4" t="n"/>
      <c r="C91" s="5">
        <f>IF(AND(ISNUMBER(A91),ISNUMBER(B91),ISNUMBER($K$2),ISNUMBER($K$3),$K$3&gt;$K$2),(B91-$K$2)/($K$3-$K$2),"")</f>
        <v/>
      </c>
      <c r="D91" s="5">
        <f>IF(ISNUMBER(C91),IF(B91&lt;$K$3,LN(($K$3-$K$2)/($K$3-B91)),""),"")</f>
        <v/>
      </c>
      <c r="E91" s="5">
        <f>IF(AND(ISNUMBER(C91),ISNUMBER(D91),C91&gt;=0.2,C91&lt;=0.8),D91,"")</f>
        <v/>
      </c>
      <c r="F91" s="5">
        <f>IF(ISNUMBER(E91),A91,"")</f>
        <v/>
      </c>
      <c r="G91" s="5">
        <f>IF(AND(ISNUMBER(E91),ISNUMBER($K$4)),E91-($K$7+$K$4*A91),"")</f>
        <v/>
      </c>
    </row>
    <row r="92">
      <c r="A92" s="4" t="n"/>
      <c r="B92" s="4" t="n"/>
      <c r="C92" s="5">
        <f>IF(AND(ISNUMBER(A92),ISNUMBER(B92),ISNUMBER($K$2),ISNUMBER($K$3),$K$3&gt;$K$2),(B92-$K$2)/($K$3-$K$2),"")</f>
        <v/>
      </c>
      <c r="D92" s="5">
        <f>IF(ISNUMBER(C92),IF(B92&lt;$K$3,LN(($K$3-$K$2)/($K$3-B92)),""),"")</f>
        <v/>
      </c>
      <c r="E92" s="5">
        <f>IF(AND(ISNUMBER(C92),ISNUMBER(D92),C92&gt;=0.2,C92&lt;=0.8),D92,"")</f>
        <v/>
      </c>
      <c r="F92" s="5">
        <f>IF(ISNUMBER(E92),A92,"")</f>
        <v/>
      </c>
      <c r="G92" s="5">
        <f>IF(AND(ISNUMBER(E92),ISNUMBER($K$4)),E92-($K$7+$K$4*A92),"")</f>
        <v/>
      </c>
    </row>
    <row r="93">
      <c r="A93" s="4" t="n"/>
      <c r="B93" s="4" t="n"/>
      <c r="C93" s="5">
        <f>IF(AND(ISNUMBER(A93),ISNUMBER(B93),ISNUMBER($K$2),ISNUMBER($K$3),$K$3&gt;$K$2),(B93-$K$2)/($K$3-$K$2),"")</f>
        <v/>
      </c>
      <c r="D93" s="5">
        <f>IF(ISNUMBER(C93),IF(B93&lt;$K$3,LN(($K$3-$K$2)/($K$3-B93)),""),"")</f>
        <v/>
      </c>
      <c r="E93" s="5">
        <f>IF(AND(ISNUMBER(C93),ISNUMBER(D93),C93&gt;=0.2,C93&lt;=0.8),D93,"")</f>
        <v/>
      </c>
      <c r="F93" s="5">
        <f>IF(ISNUMBER(E93),A93,"")</f>
        <v/>
      </c>
      <c r="G93" s="5">
        <f>IF(AND(ISNUMBER(E93),ISNUMBER($K$4)),E93-($K$7+$K$4*A93),"")</f>
        <v/>
      </c>
    </row>
    <row r="94">
      <c r="A94" s="4" t="n"/>
      <c r="B94" s="4" t="n"/>
      <c r="C94" s="5">
        <f>IF(AND(ISNUMBER(A94),ISNUMBER(B94),ISNUMBER($K$2),ISNUMBER($K$3),$K$3&gt;$K$2),(B94-$K$2)/($K$3-$K$2),"")</f>
        <v/>
      </c>
      <c r="D94" s="5">
        <f>IF(ISNUMBER(C94),IF(B94&lt;$K$3,LN(($K$3-$K$2)/($K$3-B94)),""),"")</f>
        <v/>
      </c>
      <c r="E94" s="5">
        <f>IF(AND(ISNUMBER(C94),ISNUMBER(D94),C94&gt;=0.2,C94&lt;=0.8),D94,"")</f>
        <v/>
      </c>
      <c r="F94" s="5">
        <f>IF(ISNUMBER(E94),A94,"")</f>
        <v/>
      </c>
      <c r="G94" s="5">
        <f>IF(AND(ISNUMBER(E94),ISNUMBER($K$4)),E94-($K$7+$K$4*A94),"")</f>
        <v/>
      </c>
    </row>
    <row r="95">
      <c r="A95" s="4" t="n"/>
      <c r="B95" s="4" t="n"/>
      <c r="C95" s="5">
        <f>IF(AND(ISNUMBER(A95),ISNUMBER(B95),ISNUMBER($K$2),ISNUMBER($K$3),$K$3&gt;$K$2),(B95-$K$2)/($K$3-$K$2),"")</f>
        <v/>
      </c>
      <c r="D95" s="5">
        <f>IF(ISNUMBER(C95),IF(B95&lt;$K$3,LN(($K$3-$K$2)/($K$3-B95)),""),"")</f>
        <v/>
      </c>
      <c r="E95" s="5">
        <f>IF(AND(ISNUMBER(C95),ISNUMBER(D95),C95&gt;=0.2,C95&lt;=0.8),D95,"")</f>
        <v/>
      </c>
      <c r="F95" s="5">
        <f>IF(ISNUMBER(E95),A95,"")</f>
        <v/>
      </c>
      <c r="G95" s="5">
        <f>IF(AND(ISNUMBER(E95),ISNUMBER($K$4)),E95-($K$7+$K$4*A95),"")</f>
        <v/>
      </c>
    </row>
    <row r="96">
      <c r="A96" s="4" t="n"/>
      <c r="B96" s="4" t="n"/>
      <c r="C96" s="5">
        <f>IF(AND(ISNUMBER(A96),ISNUMBER(B96),ISNUMBER($K$2),ISNUMBER($K$3),$K$3&gt;$K$2),(B96-$K$2)/($K$3-$K$2),"")</f>
        <v/>
      </c>
      <c r="D96" s="5">
        <f>IF(ISNUMBER(C96),IF(B96&lt;$K$3,LN(($K$3-$K$2)/($K$3-B96)),""),"")</f>
        <v/>
      </c>
      <c r="E96" s="5">
        <f>IF(AND(ISNUMBER(C96),ISNUMBER(D96),C96&gt;=0.2,C96&lt;=0.8),D96,"")</f>
        <v/>
      </c>
      <c r="F96" s="5">
        <f>IF(ISNUMBER(E96),A96,"")</f>
        <v/>
      </c>
      <c r="G96" s="5">
        <f>IF(AND(ISNUMBER(E96),ISNUMBER($K$4)),E96-($K$7+$K$4*A96),"")</f>
        <v/>
      </c>
    </row>
    <row r="97">
      <c r="A97" s="4" t="n"/>
      <c r="B97" s="4" t="n"/>
      <c r="C97" s="5">
        <f>IF(AND(ISNUMBER(A97),ISNUMBER(B97),ISNUMBER($K$2),ISNUMBER($K$3),$K$3&gt;$K$2),(B97-$K$2)/($K$3-$K$2),"")</f>
        <v/>
      </c>
      <c r="D97" s="5">
        <f>IF(ISNUMBER(C97),IF(B97&lt;$K$3,LN(($K$3-$K$2)/($K$3-B97)),""),"")</f>
        <v/>
      </c>
      <c r="E97" s="5">
        <f>IF(AND(ISNUMBER(C97),ISNUMBER(D97),C97&gt;=0.2,C97&lt;=0.8),D97,"")</f>
        <v/>
      </c>
      <c r="F97" s="5">
        <f>IF(ISNUMBER(E97),A97,"")</f>
        <v/>
      </c>
      <c r="G97" s="5">
        <f>IF(AND(ISNUMBER(E97),ISNUMBER($K$4)),E97-($K$7+$K$4*A97),"")</f>
        <v/>
      </c>
    </row>
    <row r="98">
      <c r="A98" s="4" t="n"/>
      <c r="B98" s="4" t="n"/>
      <c r="C98" s="5">
        <f>IF(AND(ISNUMBER(A98),ISNUMBER(B98),ISNUMBER($K$2),ISNUMBER($K$3),$K$3&gt;$K$2),(B98-$K$2)/($K$3-$K$2),"")</f>
        <v/>
      </c>
      <c r="D98" s="5">
        <f>IF(ISNUMBER(C98),IF(B98&lt;$K$3,LN(($K$3-$K$2)/($K$3-B98)),""),"")</f>
        <v/>
      </c>
      <c r="E98" s="5">
        <f>IF(AND(ISNUMBER(C98),ISNUMBER(D98),C98&gt;=0.2,C98&lt;=0.8),D98,"")</f>
        <v/>
      </c>
      <c r="F98" s="5">
        <f>IF(ISNUMBER(E98),A98,"")</f>
        <v/>
      </c>
      <c r="G98" s="5">
        <f>IF(AND(ISNUMBER(E98),ISNUMBER($K$4)),E98-($K$7+$K$4*A98),"")</f>
        <v/>
      </c>
    </row>
    <row r="99">
      <c r="A99" s="4" t="n"/>
      <c r="B99" s="4" t="n"/>
      <c r="C99" s="5">
        <f>IF(AND(ISNUMBER(A99),ISNUMBER(B99),ISNUMBER($K$2),ISNUMBER($K$3),$K$3&gt;$K$2),(B99-$K$2)/($K$3-$K$2),"")</f>
        <v/>
      </c>
      <c r="D99" s="5">
        <f>IF(ISNUMBER(C99),IF(B99&lt;$K$3,LN(($K$3-$K$2)/($K$3-B99)),""),"")</f>
        <v/>
      </c>
      <c r="E99" s="5">
        <f>IF(AND(ISNUMBER(C99),ISNUMBER(D99),C99&gt;=0.2,C99&lt;=0.8),D99,"")</f>
        <v/>
      </c>
      <c r="F99" s="5">
        <f>IF(ISNUMBER(E99),A99,"")</f>
        <v/>
      </c>
      <c r="G99" s="5">
        <f>IF(AND(ISNUMBER(E99),ISNUMBER($K$4)),E99-($K$7+$K$4*A99),"")</f>
        <v/>
      </c>
    </row>
    <row r="100">
      <c r="A100" s="4" t="n"/>
      <c r="B100" s="4" t="n"/>
      <c r="C100" s="5">
        <f>IF(AND(ISNUMBER(A100),ISNUMBER(B100),ISNUMBER($K$2),ISNUMBER($K$3),$K$3&gt;$K$2),(B100-$K$2)/($K$3-$K$2),"")</f>
        <v/>
      </c>
      <c r="D100" s="5">
        <f>IF(ISNUMBER(C100),IF(B100&lt;$K$3,LN(($K$3-$K$2)/($K$3-B100)),""),"")</f>
        <v/>
      </c>
      <c r="E100" s="5">
        <f>IF(AND(ISNUMBER(C100),ISNUMBER(D100),C100&gt;=0.2,C100&lt;=0.8),D100,"")</f>
        <v/>
      </c>
      <c r="F100" s="5">
        <f>IF(ISNUMBER(E100),A100,"")</f>
        <v/>
      </c>
      <c r="G100" s="5">
        <f>IF(AND(ISNUMBER(E100),ISNUMBER($K$4)),E100-($K$7+$K$4*A100),"")</f>
        <v/>
      </c>
    </row>
    <row r="101">
      <c r="A101" s="4" t="n"/>
      <c r="B101" s="4" t="n"/>
      <c r="C101" s="5">
        <f>IF(AND(ISNUMBER(A101),ISNUMBER(B101),ISNUMBER($K$2),ISNUMBER($K$3),$K$3&gt;$K$2),(B101-$K$2)/($K$3-$K$2),"")</f>
        <v/>
      </c>
      <c r="D101" s="5">
        <f>IF(ISNUMBER(C101),IF(B101&lt;$K$3,LN(($K$3-$K$2)/($K$3-B101)),""),"")</f>
        <v/>
      </c>
      <c r="E101" s="5">
        <f>IF(AND(ISNUMBER(C101),ISNUMBER(D101),C101&gt;=0.2,C101&lt;=0.8),D101,"")</f>
        <v/>
      </c>
      <c r="F101" s="5">
        <f>IF(ISNUMBER(E101),A101,"")</f>
        <v/>
      </c>
      <c r="G101" s="5">
        <f>IF(AND(ISNUMBER(E101),ISNUMBER($K$4)),E101-($K$7+$K$4*A101),"")</f>
        <v/>
      </c>
    </row>
    <row r="102">
      <c r="A102" s="4" t="n"/>
      <c r="B102" s="4" t="n"/>
      <c r="C102" s="5">
        <f>IF(AND(ISNUMBER(A102),ISNUMBER(B102),ISNUMBER($K$2),ISNUMBER($K$3),$K$3&gt;$K$2),(B102-$K$2)/($K$3-$K$2),"")</f>
        <v/>
      </c>
      <c r="D102" s="5">
        <f>IF(ISNUMBER(C102),IF(B102&lt;$K$3,LN(($K$3-$K$2)/($K$3-B102)),""),"")</f>
        <v/>
      </c>
      <c r="E102" s="5">
        <f>IF(AND(ISNUMBER(C102),ISNUMBER(D102),C102&gt;=0.2,C102&lt;=0.8),D102,"")</f>
        <v/>
      </c>
      <c r="F102" s="5">
        <f>IF(ISNUMBER(E102),A102,"")</f>
        <v/>
      </c>
      <c r="G102" s="5">
        <f>IF(AND(ISNUMBER(E102),ISNUMBER($K$4)),E102-($K$7+$K$4*A102),"")</f>
        <v/>
      </c>
    </row>
    <row r="103">
      <c r="A103" s="4" t="n"/>
      <c r="B103" s="4" t="n"/>
      <c r="C103" s="5">
        <f>IF(AND(ISNUMBER(A103),ISNUMBER(B103),ISNUMBER($K$2),ISNUMBER($K$3),$K$3&gt;$K$2),(B103-$K$2)/($K$3-$K$2),"")</f>
        <v/>
      </c>
      <c r="D103" s="5">
        <f>IF(ISNUMBER(C103),IF(B103&lt;$K$3,LN(($K$3-$K$2)/($K$3-B103)),""),"")</f>
        <v/>
      </c>
      <c r="E103" s="5">
        <f>IF(AND(ISNUMBER(C103),ISNUMBER(D103),C103&gt;=0.2,C103&lt;=0.8),D103,"")</f>
        <v/>
      </c>
      <c r="F103" s="5">
        <f>IF(ISNUMBER(E103),A103,"")</f>
        <v/>
      </c>
      <c r="G103" s="5">
        <f>IF(AND(ISNUMBER(E103),ISNUMBER($K$4)),E103-($K$7+$K$4*A103),"")</f>
        <v/>
      </c>
    </row>
    <row r="104">
      <c r="A104" s="4" t="n"/>
      <c r="B104" s="4" t="n"/>
      <c r="C104" s="5">
        <f>IF(AND(ISNUMBER(A104),ISNUMBER(B104),ISNUMBER($K$2),ISNUMBER($K$3),$K$3&gt;$K$2),(B104-$K$2)/($K$3-$K$2),"")</f>
        <v/>
      </c>
      <c r="D104" s="5">
        <f>IF(ISNUMBER(C104),IF(B104&lt;$K$3,LN(($K$3-$K$2)/($K$3-B104)),""),"")</f>
        <v/>
      </c>
      <c r="E104" s="5">
        <f>IF(AND(ISNUMBER(C104),ISNUMBER(D104),C104&gt;=0.2,C104&lt;=0.8),D104,"")</f>
        <v/>
      </c>
      <c r="F104" s="5">
        <f>IF(ISNUMBER(E104),A104,"")</f>
        <v/>
      </c>
      <c r="G104" s="5">
        <f>IF(AND(ISNUMBER(E104),ISNUMBER($K$4)),E104-($K$7+$K$4*A104),"")</f>
        <v/>
      </c>
    </row>
    <row r="105">
      <c r="A105" s="4" t="n"/>
      <c r="B105" s="4" t="n"/>
      <c r="C105" s="5">
        <f>IF(AND(ISNUMBER(A105),ISNUMBER(B105),ISNUMBER($K$2),ISNUMBER($K$3),$K$3&gt;$K$2),(B105-$K$2)/($K$3-$K$2),"")</f>
        <v/>
      </c>
      <c r="D105" s="5">
        <f>IF(ISNUMBER(C105),IF(B105&lt;$K$3,LN(($K$3-$K$2)/($K$3-B105)),""),"")</f>
        <v/>
      </c>
      <c r="E105" s="5">
        <f>IF(AND(ISNUMBER(C105),ISNUMBER(D105),C105&gt;=0.2,C105&lt;=0.8),D105,"")</f>
        <v/>
      </c>
      <c r="F105" s="5">
        <f>IF(ISNUMBER(E105),A105,"")</f>
        <v/>
      </c>
      <c r="G105" s="5">
        <f>IF(AND(ISNUMBER(E105),ISNUMBER($K$4)),E105-($K$7+$K$4*A105),"")</f>
        <v/>
      </c>
    </row>
    <row r="106">
      <c r="A106" s="4" t="n"/>
      <c r="B106" s="4" t="n"/>
      <c r="C106" s="5">
        <f>IF(AND(ISNUMBER(A106),ISNUMBER(B106),ISNUMBER($K$2),ISNUMBER($K$3),$K$3&gt;$K$2),(B106-$K$2)/($K$3-$K$2),"")</f>
        <v/>
      </c>
      <c r="D106" s="5">
        <f>IF(ISNUMBER(C106),IF(B106&lt;$K$3,LN(($K$3-$K$2)/($K$3-B106)),""),"")</f>
        <v/>
      </c>
      <c r="E106" s="5">
        <f>IF(AND(ISNUMBER(C106),ISNUMBER(D106),C106&gt;=0.2,C106&lt;=0.8),D106,"")</f>
        <v/>
      </c>
      <c r="F106" s="5">
        <f>IF(ISNUMBER(E106),A106,"")</f>
        <v/>
      </c>
      <c r="G106" s="5">
        <f>IF(AND(ISNUMBER(E106),ISNUMBER($K$4)),E106-($K$7+$K$4*A106),"")</f>
        <v/>
      </c>
    </row>
    <row r="107">
      <c r="A107" s="4" t="n"/>
      <c r="B107" s="4" t="n"/>
      <c r="C107" s="5">
        <f>IF(AND(ISNUMBER(A107),ISNUMBER(B107),ISNUMBER($K$2),ISNUMBER($K$3),$K$3&gt;$K$2),(B107-$K$2)/($K$3-$K$2),"")</f>
        <v/>
      </c>
      <c r="D107" s="5">
        <f>IF(ISNUMBER(C107),IF(B107&lt;$K$3,LN(($K$3-$K$2)/($K$3-B107)),""),"")</f>
        <v/>
      </c>
      <c r="E107" s="5">
        <f>IF(AND(ISNUMBER(C107),ISNUMBER(D107),C107&gt;=0.2,C107&lt;=0.8),D107,"")</f>
        <v/>
      </c>
      <c r="F107" s="5">
        <f>IF(ISNUMBER(E107),A107,"")</f>
        <v/>
      </c>
      <c r="G107" s="5">
        <f>IF(AND(ISNUMBER(E107),ISNUMBER($K$4)),E107-($K$7+$K$4*A107),"")</f>
        <v/>
      </c>
    </row>
    <row r="108">
      <c r="A108" s="4" t="n"/>
      <c r="B108" s="4" t="n"/>
      <c r="C108" s="5">
        <f>IF(AND(ISNUMBER(A108),ISNUMBER(B108),ISNUMBER($K$2),ISNUMBER($K$3),$K$3&gt;$K$2),(B108-$K$2)/($K$3-$K$2),"")</f>
        <v/>
      </c>
      <c r="D108" s="5">
        <f>IF(ISNUMBER(C108),IF(B108&lt;$K$3,LN(($K$3-$K$2)/($K$3-B108)),""),"")</f>
        <v/>
      </c>
      <c r="E108" s="5">
        <f>IF(AND(ISNUMBER(C108),ISNUMBER(D108),C108&gt;=0.2,C108&lt;=0.8),D108,"")</f>
        <v/>
      </c>
      <c r="F108" s="5">
        <f>IF(ISNUMBER(E108),A108,"")</f>
        <v/>
      </c>
      <c r="G108" s="5">
        <f>IF(AND(ISNUMBER(E108),ISNUMBER($K$4)),E108-($K$7+$K$4*A108),"")</f>
        <v/>
      </c>
    </row>
    <row r="109">
      <c r="A109" s="4" t="n"/>
      <c r="B109" s="4" t="n"/>
      <c r="C109" s="5">
        <f>IF(AND(ISNUMBER(A109),ISNUMBER(B109),ISNUMBER($K$2),ISNUMBER($K$3),$K$3&gt;$K$2),(B109-$K$2)/($K$3-$K$2),"")</f>
        <v/>
      </c>
      <c r="D109" s="5">
        <f>IF(ISNUMBER(C109),IF(B109&lt;$K$3,LN(($K$3-$K$2)/($K$3-B109)),""),"")</f>
        <v/>
      </c>
      <c r="E109" s="5">
        <f>IF(AND(ISNUMBER(C109),ISNUMBER(D109),C109&gt;=0.2,C109&lt;=0.8),D109,"")</f>
        <v/>
      </c>
      <c r="F109" s="5">
        <f>IF(ISNUMBER(E109),A109,"")</f>
        <v/>
      </c>
      <c r="G109" s="5">
        <f>IF(AND(ISNUMBER(E109),ISNUMBER($K$4)),E109-($K$7+$K$4*A109),"")</f>
        <v/>
      </c>
    </row>
    <row r="110">
      <c r="A110" s="4" t="n"/>
      <c r="B110" s="4" t="n"/>
      <c r="C110" s="5">
        <f>IF(AND(ISNUMBER(A110),ISNUMBER(B110),ISNUMBER($K$2),ISNUMBER($K$3),$K$3&gt;$K$2),(B110-$K$2)/($K$3-$K$2),"")</f>
        <v/>
      </c>
      <c r="D110" s="5">
        <f>IF(ISNUMBER(C110),IF(B110&lt;$K$3,LN(($K$3-$K$2)/($K$3-B110)),""),"")</f>
        <v/>
      </c>
      <c r="E110" s="5">
        <f>IF(AND(ISNUMBER(C110),ISNUMBER(D110),C110&gt;=0.2,C110&lt;=0.8),D110,"")</f>
        <v/>
      </c>
      <c r="F110" s="5">
        <f>IF(ISNUMBER(E110),A110,"")</f>
        <v/>
      </c>
      <c r="G110" s="5">
        <f>IF(AND(ISNUMBER(E110),ISNUMBER($K$4)),E110-($K$7+$K$4*A110),"")</f>
        <v/>
      </c>
    </row>
    <row r="111">
      <c r="A111" s="4" t="n"/>
      <c r="B111" s="4" t="n"/>
      <c r="C111" s="5">
        <f>IF(AND(ISNUMBER(A111),ISNUMBER(B111),ISNUMBER($K$2),ISNUMBER($K$3),$K$3&gt;$K$2),(B111-$K$2)/($K$3-$K$2),"")</f>
        <v/>
      </c>
      <c r="D111" s="5">
        <f>IF(ISNUMBER(C111),IF(B111&lt;$K$3,LN(($K$3-$K$2)/($K$3-B111)),""),"")</f>
        <v/>
      </c>
      <c r="E111" s="5">
        <f>IF(AND(ISNUMBER(C111),ISNUMBER(D111),C111&gt;=0.2,C111&lt;=0.8),D111,"")</f>
        <v/>
      </c>
      <c r="F111" s="5">
        <f>IF(ISNUMBER(E111),A111,"")</f>
        <v/>
      </c>
      <c r="G111" s="5">
        <f>IF(AND(ISNUMBER(E111),ISNUMBER($K$4)),E111-($K$7+$K$4*A111),"")</f>
        <v/>
      </c>
    </row>
    <row r="112">
      <c r="A112" s="4" t="n"/>
      <c r="B112" s="4" t="n"/>
      <c r="C112" s="5">
        <f>IF(AND(ISNUMBER(A112),ISNUMBER(B112),ISNUMBER($K$2),ISNUMBER($K$3),$K$3&gt;$K$2),(B112-$K$2)/($K$3-$K$2),"")</f>
        <v/>
      </c>
      <c r="D112" s="5">
        <f>IF(ISNUMBER(C112),IF(B112&lt;$K$3,LN(($K$3-$K$2)/($K$3-B112)),""),"")</f>
        <v/>
      </c>
      <c r="E112" s="5">
        <f>IF(AND(ISNUMBER(C112),ISNUMBER(D112),C112&gt;=0.2,C112&lt;=0.8),D112,"")</f>
        <v/>
      </c>
      <c r="F112" s="5">
        <f>IF(ISNUMBER(E112),A112,"")</f>
        <v/>
      </c>
      <c r="G112" s="5">
        <f>IF(AND(ISNUMBER(E112),ISNUMBER($K$4)),E112-($K$7+$K$4*A112),"")</f>
        <v/>
      </c>
    </row>
    <row r="113">
      <c r="A113" s="4" t="n"/>
      <c r="B113" s="4" t="n"/>
      <c r="C113" s="5">
        <f>IF(AND(ISNUMBER(A113),ISNUMBER(B113),ISNUMBER($K$2),ISNUMBER($K$3),$K$3&gt;$K$2),(B113-$K$2)/($K$3-$K$2),"")</f>
        <v/>
      </c>
      <c r="D113" s="5">
        <f>IF(ISNUMBER(C113),IF(B113&lt;$K$3,LN(($K$3-$K$2)/($K$3-B113)),""),"")</f>
        <v/>
      </c>
      <c r="E113" s="5">
        <f>IF(AND(ISNUMBER(C113),ISNUMBER(D113),C113&gt;=0.2,C113&lt;=0.8),D113,"")</f>
        <v/>
      </c>
      <c r="F113" s="5">
        <f>IF(ISNUMBER(E113),A113,"")</f>
        <v/>
      </c>
      <c r="G113" s="5">
        <f>IF(AND(ISNUMBER(E113),ISNUMBER($K$4)),E113-($K$7+$K$4*A113),"")</f>
        <v/>
      </c>
    </row>
    <row r="114">
      <c r="A114" s="4" t="n"/>
      <c r="B114" s="4" t="n"/>
      <c r="C114" s="5">
        <f>IF(AND(ISNUMBER(A114),ISNUMBER(B114),ISNUMBER($K$2),ISNUMBER($K$3),$K$3&gt;$K$2),(B114-$K$2)/($K$3-$K$2),"")</f>
        <v/>
      </c>
      <c r="D114" s="5">
        <f>IF(ISNUMBER(C114),IF(B114&lt;$K$3,LN(($K$3-$K$2)/($K$3-B114)),""),"")</f>
        <v/>
      </c>
      <c r="E114" s="5">
        <f>IF(AND(ISNUMBER(C114),ISNUMBER(D114),C114&gt;=0.2,C114&lt;=0.8),D114,"")</f>
        <v/>
      </c>
      <c r="F114" s="5">
        <f>IF(ISNUMBER(E114),A114,"")</f>
        <v/>
      </c>
      <c r="G114" s="5">
        <f>IF(AND(ISNUMBER(E114),ISNUMBER($K$4)),E114-($K$7+$K$4*A114),"")</f>
        <v/>
      </c>
    </row>
    <row r="115">
      <c r="A115" s="4" t="n"/>
      <c r="B115" s="4" t="n"/>
      <c r="C115" s="5">
        <f>IF(AND(ISNUMBER(A115),ISNUMBER(B115),ISNUMBER($K$2),ISNUMBER($K$3),$K$3&gt;$K$2),(B115-$K$2)/($K$3-$K$2),"")</f>
        <v/>
      </c>
      <c r="D115" s="5">
        <f>IF(ISNUMBER(C115),IF(B115&lt;$K$3,LN(($K$3-$K$2)/($K$3-B115)),""),"")</f>
        <v/>
      </c>
      <c r="E115" s="5">
        <f>IF(AND(ISNUMBER(C115),ISNUMBER(D115),C115&gt;=0.2,C115&lt;=0.8),D115,"")</f>
        <v/>
      </c>
      <c r="F115" s="5">
        <f>IF(ISNUMBER(E115),A115,"")</f>
        <v/>
      </c>
      <c r="G115" s="5">
        <f>IF(AND(ISNUMBER(E115),ISNUMBER($K$4)),E115-($K$7+$K$4*A115),"")</f>
        <v/>
      </c>
    </row>
    <row r="116">
      <c r="A116" s="4" t="n"/>
      <c r="B116" s="4" t="n"/>
      <c r="C116" s="5">
        <f>IF(AND(ISNUMBER(A116),ISNUMBER(B116),ISNUMBER($K$2),ISNUMBER($K$3),$K$3&gt;$K$2),(B116-$K$2)/($K$3-$K$2),"")</f>
        <v/>
      </c>
      <c r="D116" s="5">
        <f>IF(ISNUMBER(C116),IF(B116&lt;$K$3,LN(($K$3-$K$2)/($K$3-B116)),""),"")</f>
        <v/>
      </c>
      <c r="E116" s="5">
        <f>IF(AND(ISNUMBER(C116),ISNUMBER(D116),C116&gt;=0.2,C116&lt;=0.8),D116,"")</f>
        <v/>
      </c>
      <c r="F116" s="5">
        <f>IF(ISNUMBER(E116),A116,"")</f>
        <v/>
      </c>
      <c r="G116" s="5">
        <f>IF(AND(ISNUMBER(E116),ISNUMBER($K$4)),E116-($K$7+$K$4*A116),"")</f>
        <v/>
      </c>
    </row>
    <row r="117">
      <c r="A117" s="4" t="n"/>
      <c r="B117" s="4" t="n"/>
      <c r="C117" s="5">
        <f>IF(AND(ISNUMBER(A117),ISNUMBER(B117),ISNUMBER($K$2),ISNUMBER($K$3),$K$3&gt;$K$2),(B117-$K$2)/($K$3-$K$2),"")</f>
        <v/>
      </c>
      <c r="D117" s="5">
        <f>IF(ISNUMBER(C117),IF(B117&lt;$K$3,LN(($K$3-$K$2)/($K$3-B117)),""),"")</f>
        <v/>
      </c>
      <c r="E117" s="5">
        <f>IF(AND(ISNUMBER(C117),ISNUMBER(D117),C117&gt;=0.2,C117&lt;=0.8),D117,"")</f>
        <v/>
      </c>
      <c r="F117" s="5">
        <f>IF(ISNUMBER(E117),A117,"")</f>
        <v/>
      </c>
      <c r="G117" s="5">
        <f>IF(AND(ISNUMBER(E117),ISNUMBER($K$4)),E117-($K$7+$K$4*A117),"")</f>
        <v/>
      </c>
    </row>
    <row r="118">
      <c r="A118" s="4" t="n"/>
      <c r="B118" s="4" t="n"/>
      <c r="C118" s="5">
        <f>IF(AND(ISNUMBER(A118),ISNUMBER(B118),ISNUMBER($K$2),ISNUMBER($K$3),$K$3&gt;$K$2),(B118-$K$2)/($K$3-$K$2),"")</f>
        <v/>
      </c>
      <c r="D118" s="5">
        <f>IF(ISNUMBER(C118),IF(B118&lt;$K$3,LN(($K$3-$K$2)/($K$3-B118)),""),"")</f>
        <v/>
      </c>
      <c r="E118" s="5">
        <f>IF(AND(ISNUMBER(C118),ISNUMBER(D118),C118&gt;=0.2,C118&lt;=0.8),D118,"")</f>
        <v/>
      </c>
      <c r="F118" s="5">
        <f>IF(ISNUMBER(E118),A118,"")</f>
        <v/>
      </c>
      <c r="G118" s="5">
        <f>IF(AND(ISNUMBER(E118),ISNUMBER($K$4)),E118-($K$7+$K$4*A118),"")</f>
        <v/>
      </c>
    </row>
    <row r="119">
      <c r="A119" s="4" t="n"/>
      <c r="B119" s="4" t="n"/>
      <c r="C119" s="5">
        <f>IF(AND(ISNUMBER(A119),ISNUMBER(B119),ISNUMBER($K$2),ISNUMBER($K$3),$K$3&gt;$K$2),(B119-$K$2)/($K$3-$K$2),"")</f>
        <v/>
      </c>
      <c r="D119" s="5">
        <f>IF(ISNUMBER(C119),IF(B119&lt;$K$3,LN(($K$3-$K$2)/($K$3-B119)),""),"")</f>
        <v/>
      </c>
      <c r="E119" s="5">
        <f>IF(AND(ISNUMBER(C119),ISNUMBER(D119),C119&gt;=0.2,C119&lt;=0.8),D119,"")</f>
        <v/>
      </c>
      <c r="F119" s="5">
        <f>IF(ISNUMBER(E119),A119,"")</f>
        <v/>
      </c>
      <c r="G119" s="5">
        <f>IF(AND(ISNUMBER(E119),ISNUMBER($K$4)),E119-($K$7+$K$4*A119),"")</f>
        <v/>
      </c>
    </row>
    <row r="120">
      <c r="A120" s="4" t="n"/>
      <c r="B120" s="4" t="n"/>
      <c r="C120" s="5">
        <f>IF(AND(ISNUMBER(A120),ISNUMBER(B120),ISNUMBER($K$2),ISNUMBER($K$3),$K$3&gt;$K$2),(B120-$K$2)/($K$3-$K$2),"")</f>
        <v/>
      </c>
      <c r="D120" s="5">
        <f>IF(ISNUMBER(C120),IF(B120&lt;$K$3,LN(($K$3-$K$2)/($K$3-B120)),""),"")</f>
        <v/>
      </c>
      <c r="E120" s="5">
        <f>IF(AND(ISNUMBER(C120),ISNUMBER(D120),C120&gt;=0.2,C120&lt;=0.8),D120,"")</f>
        <v/>
      </c>
      <c r="F120" s="5">
        <f>IF(ISNUMBER(E120),A120,"")</f>
        <v/>
      </c>
      <c r="G120" s="5">
        <f>IF(AND(ISNUMBER(E120),ISNUMBER($K$4)),E120-($K$7+$K$4*A120),"")</f>
        <v/>
      </c>
    </row>
    <row r="121">
      <c r="A121" s="4" t="n"/>
      <c r="B121" s="4" t="n"/>
      <c r="C121" s="5">
        <f>IF(AND(ISNUMBER(A121),ISNUMBER(B121),ISNUMBER($K$2),ISNUMBER($K$3),$K$3&gt;$K$2),(B121-$K$2)/($K$3-$K$2),"")</f>
        <v/>
      </c>
      <c r="D121" s="5">
        <f>IF(ISNUMBER(C121),IF(B121&lt;$K$3,LN(($K$3-$K$2)/($K$3-B121)),""),"")</f>
        <v/>
      </c>
      <c r="E121" s="5">
        <f>IF(AND(ISNUMBER(C121),ISNUMBER(D121),C121&gt;=0.2,C121&lt;=0.8),D121,"")</f>
        <v/>
      </c>
      <c r="F121" s="5">
        <f>IF(ISNUMBER(E121),A121,"")</f>
        <v/>
      </c>
      <c r="G121" s="5">
        <f>IF(AND(ISNUMBER(E121),ISNUMBER($K$4)),E121-($K$7+$K$4*A121),"")</f>
        <v/>
      </c>
    </row>
    <row r="122">
      <c r="A122" s="4" t="n"/>
      <c r="B122" s="4" t="n"/>
      <c r="C122" s="5">
        <f>IF(AND(ISNUMBER(A122),ISNUMBER(B122),ISNUMBER($K$2),ISNUMBER($K$3),$K$3&gt;$K$2),(B122-$K$2)/($K$3-$K$2),"")</f>
        <v/>
      </c>
      <c r="D122" s="5">
        <f>IF(ISNUMBER(C122),IF(B122&lt;$K$3,LN(($K$3-$K$2)/($K$3-B122)),""),"")</f>
        <v/>
      </c>
      <c r="E122" s="5">
        <f>IF(AND(ISNUMBER(C122),ISNUMBER(D122),C122&gt;=0.2,C122&lt;=0.8),D122,"")</f>
        <v/>
      </c>
      <c r="F122" s="5">
        <f>IF(ISNUMBER(E122),A122,"")</f>
        <v/>
      </c>
      <c r="G122" s="5">
        <f>IF(AND(ISNUMBER(E122),ISNUMBER($K$4)),E122-($K$7+$K$4*A122),"")</f>
        <v/>
      </c>
    </row>
    <row r="123">
      <c r="A123" s="4" t="n"/>
      <c r="B123" s="4" t="n"/>
      <c r="C123" s="5">
        <f>IF(AND(ISNUMBER(A123),ISNUMBER(B123),ISNUMBER($K$2),ISNUMBER($K$3),$K$3&gt;$K$2),(B123-$K$2)/($K$3-$K$2),"")</f>
        <v/>
      </c>
      <c r="D123" s="5">
        <f>IF(ISNUMBER(C123),IF(B123&lt;$K$3,LN(($K$3-$K$2)/($K$3-B123)),""),"")</f>
        <v/>
      </c>
      <c r="E123" s="5">
        <f>IF(AND(ISNUMBER(C123),ISNUMBER(D123),C123&gt;=0.2,C123&lt;=0.8),D123,"")</f>
        <v/>
      </c>
      <c r="F123" s="5">
        <f>IF(ISNUMBER(E123),A123,"")</f>
        <v/>
      </c>
      <c r="G123" s="5">
        <f>IF(AND(ISNUMBER(E123),ISNUMBER($K$4)),E123-($K$7+$K$4*A123),"")</f>
        <v/>
      </c>
    </row>
    <row r="124">
      <c r="A124" s="4" t="n"/>
      <c r="B124" s="4" t="n"/>
      <c r="C124" s="5">
        <f>IF(AND(ISNUMBER(A124),ISNUMBER(B124),ISNUMBER($K$2),ISNUMBER($K$3),$K$3&gt;$K$2),(B124-$K$2)/($K$3-$K$2),"")</f>
        <v/>
      </c>
      <c r="D124" s="5">
        <f>IF(ISNUMBER(C124),IF(B124&lt;$K$3,LN(($K$3-$K$2)/($K$3-B124)),""),"")</f>
        <v/>
      </c>
      <c r="E124" s="5">
        <f>IF(AND(ISNUMBER(C124),ISNUMBER(D124),C124&gt;=0.2,C124&lt;=0.8),D124,"")</f>
        <v/>
      </c>
      <c r="F124" s="5">
        <f>IF(ISNUMBER(E124),A124,"")</f>
        <v/>
      </c>
      <c r="G124" s="5">
        <f>IF(AND(ISNUMBER(E124),ISNUMBER($K$4)),E124-($K$7+$K$4*A124),"")</f>
        <v/>
      </c>
    </row>
    <row r="125">
      <c r="A125" s="4" t="n"/>
      <c r="B125" s="4" t="n"/>
      <c r="C125" s="5">
        <f>IF(AND(ISNUMBER(A125),ISNUMBER(B125),ISNUMBER($K$2),ISNUMBER($K$3),$K$3&gt;$K$2),(B125-$K$2)/($K$3-$K$2),"")</f>
        <v/>
      </c>
      <c r="D125" s="5">
        <f>IF(ISNUMBER(C125),IF(B125&lt;$K$3,LN(($K$3-$K$2)/($K$3-B125)),""),"")</f>
        <v/>
      </c>
      <c r="E125" s="5">
        <f>IF(AND(ISNUMBER(C125),ISNUMBER(D125),C125&gt;=0.2,C125&lt;=0.8),D125,"")</f>
        <v/>
      </c>
      <c r="F125" s="5">
        <f>IF(ISNUMBER(E125),A125,"")</f>
        <v/>
      </c>
      <c r="G125" s="5">
        <f>IF(AND(ISNUMBER(E125),ISNUMBER($K$4)),E125-($K$7+$K$4*A125),"")</f>
        <v/>
      </c>
    </row>
    <row r="126">
      <c r="A126" s="4" t="n"/>
      <c r="B126" s="4" t="n"/>
      <c r="C126" s="5">
        <f>IF(AND(ISNUMBER(A126),ISNUMBER(B126),ISNUMBER($K$2),ISNUMBER($K$3),$K$3&gt;$K$2),(B126-$K$2)/($K$3-$K$2),"")</f>
        <v/>
      </c>
      <c r="D126" s="5">
        <f>IF(ISNUMBER(C126),IF(B126&lt;$K$3,LN(($K$3-$K$2)/($K$3-B126)),""),"")</f>
        <v/>
      </c>
      <c r="E126" s="5">
        <f>IF(AND(ISNUMBER(C126),ISNUMBER(D126),C126&gt;=0.2,C126&lt;=0.8),D126,"")</f>
        <v/>
      </c>
      <c r="F126" s="5">
        <f>IF(ISNUMBER(E126),A126,"")</f>
        <v/>
      </c>
      <c r="G126" s="5">
        <f>IF(AND(ISNUMBER(E126),ISNUMBER($K$4)),E126-($K$7+$K$4*A126),"")</f>
        <v/>
      </c>
    </row>
    <row r="127">
      <c r="A127" s="4" t="n"/>
      <c r="B127" s="4" t="n"/>
      <c r="C127" s="5">
        <f>IF(AND(ISNUMBER(A127),ISNUMBER(B127),ISNUMBER($K$2),ISNUMBER($K$3),$K$3&gt;$K$2),(B127-$K$2)/($K$3-$K$2),"")</f>
        <v/>
      </c>
      <c r="D127" s="5">
        <f>IF(ISNUMBER(C127),IF(B127&lt;$K$3,LN(($K$3-$K$2)/($K$3-B127)),""),"")</f>
        <v/>
      </c>
      <c r="E127" s="5">
        <f>IF(AND(ISNUMBER(C127),ISNUMBER(D127),C127&gt;=0.2,C127&lt;=0.8),D127,"")</f>
        <v/>
      </c>
      <c r="F127" s="5">
        <f>IF(ISNUMBER(E127),A127,"")</f>
        <v/>
      </c>
      <c r="G127" s="5">
        <f>IF(AND(ISNUMBER(E127),ISNUMBER($K$4)),E127-($K$7+$K$4*A127),"")</f>
        <v/>
      </c>
    </row>
    <row r="128">
      <c r="A128" s="4" t="n"/>
      <c r="B128" s="4" t="n"/>
      <c r="C128" s="5">
        <f>IF(AND(ISNUMBER(A128),ISNUMBER(B128),ISNUMBER($K$2),ISNUMBER($K$3),$K$3&gt;$K$2),(B128-$K$2)/($K$3-$K$2),"")</f>
        <v/>
      </c>
      <c r="D128" s="5">
        <f>IF(ISNUMBER(C128),IF(B128&lt;$K$3,LN(($K$3-$K$2)/($K$3-B128)),""),"")</f>
        <v/>
      </c>
      <c r="E128" s="5">
        <f>IF(AND(ISNUMBER(C128),ISNUMBER(D128),C128&gt;=0.2,C128&lt;=0.8),D128,"")</f>
        <v/>
      </c>
      <c r="F128" s="5">
        <f>IF(ISNUMBER(E128),A128,"")</f>
        <v/>
      </c>
      <c r="G128" s="5">
        <f>IF(AND(ISNUMBER(E128),ISNUMBER($K$4)),E128-($K$7+$K$4*A128),"")</f>
        <v/>
      </c>
    </row>
    <row r="129">
      <c r="A129" s="4" t="n"/>
      <c r="B129" s="4" t="n"/>
      <c r="C129" s="5">
        <f>IF(AND(ISNUMBER(A129),ISNUMBER(B129),ISNUMBER($K$2),ISNUMBER($K$3),$K$3&gt;$K$2),(B129-$K$2)/($K$3-$K$2),"")</f>
        <v/>
      </c>
      <c r="D129" s="5">
        <f>IF(ISNUMBER(C129),IF(B129&lt;$K$3,LN(($K$3-$K$2)/($K$3-B129)),""),"")</f>
        <v/>
      </c>
      <c r="E129" s="5">
        <f>IF(AND(ISNUMBER(C129),ISNUMBER(D129),C129&gt;=0.2,C129&lt;=0.8),D129,"")</f>
        <v/>
      </c>
      <c r="F129" s="5">
        <f>IF(ISNUMBER(E129),A129,"")</f>
        <v/>
      </c>
      <c r="G129" s="5">
        <f>IF(AND(ISNUMBER(E129),ISNUMBER($K$4)),E129-($K$7+$K$4*A129),"")</f>
        <v/>
      </c>
    </row>
    <row r="130">
      <c r="A130" s="4" t="n"/>
      <c r="B130" s="4" t="n"/>
      <c r="C130" s="5">
        <f>IF(AND(ISNUMBER(A130),ISNUMBER(B130),ISNUMBER($K$2),ISNUMBER($K$3),$K$3&gt;$K$2),(B130-$K$2)/($K$3-$K$2),"")</f>
        <v/>
      </c>
      <c r="D130" s="5">
        <f>IF(ISNUMBER(C130),IF(B130&lt;$K$3,LN(($K$3-$K$2)/($K$3-B130)),""),"")</f>
        <v/>
      </c>
      <c r="E130" s="5">
        <f>IF(AND(ISNUMBER(C130),ISNUMBER(D130),C130&gt;=0.2,C130&lt;=0.8),D130,"")</f>
        <v/>
      </c>
      <c r="F130" s="5">
        <f>IF(ISNUMBER(E130),A130,"")</f>
        <v/>
      </c>
      <c r="G130" s="5">
        <f>IF(AND(ISNUMBER(E130),ISNUMBER($K$4)),E130-($K$7+$K$4*A130),"")</f>
        <v/>
      </c>
    </row>
    <row r="131">
      <c r="A131" s="4" t="n"/>
      <c r="B131" s="4" t="n"/>
      <c r="C131" s="5">
        <f>IF(AND(ISNUMBER(A131),ISNUMBER(B131),ISNUMBER($K$2),ISNUMBER($K$3),$K$3&gt;$K$2),(B131-$K$2)/($K$3-$K$2),"")</f>
        <v/>
      </c>
      <c r="D131" s="5">
        <f>IF(ISNUMBER(C131),IF(B131&lt;$K$3,LN(($K$3-$K$2)/($K$3-B131)),""),"")</f>
        <v/>
      </c>
      <c r="E131" s="5">
        <f>IF(AND(ISNUMBER(C131),ISNUMBER(D131),C131&gt;=0.2,C131&lt;=0.8),D131,"")</f>
        <v/>
      </c>
      <c r="F131" s="5">
        <f>IF(ISNUMBER(E131),A131,"")</f>
        <v/>
      </c>
      <c r="G131" s="5">
        <f>IF(AND(ISNUMBER(E131),ISNUMBER($K$4)),E131-($K$7+$K$4*A131),"")</f>
        <v/>
      </c>
    </row>
    <row r="132">
      <c r="A132" s="4" t="n"/>
      <c r="B132" s="4" t="n"/>
      <c r="C132" s="5">
        <f>IF(AND(ISNUMBER(A132),ISNUMBER(B132),ISNUMBER($K$2),ISNUMBER($K$3),$K$3&gt;$K$2),(B132-$K$2)/($K$3-$K$2),"")</f>
        <v/>
      </c>
      <c r="D132" s="5">
        <f>IF(ISNUMBER(C132),IF(B132&lt;$K$3,LN(($K$3-$K$2)/($K$3-B132)),""),"")</f>
        <v/>
      </c>
      <c r="E132" s="5">
        <f>IF(AND(ISNUMBER(C132),ISNUMBER(D132),C132&gt;=0.2,C132&lt;=0.8),D132,"")</f>
        <v/>
      </c>
      <c r="F132" s="5">
        <f>IF(ISNUMBER(E132),A132,"")</f>
        <v/>
      </c>
      <c r="G132" s="5">
        <f>IF(AND(ISNUMBER(E132),ISNUMBER($K$4)),E132-($K$7+$K$4*A132),"")</f>
        <v/>
      </c>
    </row>
    <row r="133">
      <c r="A133" s="4" t="n"/>
      <c r="B133" s="4" t="n"/>
      <c r="C133" s="5">
        <f>IF(AND(ISNUMBER(A133),ISNUMBER(B133),ISNUMBER($K$2),ISNUMBER($K$3),$K$3&gt;$K$2),(B133-$K$2)/($K$3-$K$2),"")</f>
        <v/>
      </c>
      <c r="D133" s="5">
        <f>IF(ISNUMBER(C133),IF(B133&lt;$K$3,LN(($K$3-$K$2)/($K$3-B133)),""),"")</f>
        <v/>
      </c>
      <c r="E133" s="5">
        <f>IF(AND(ISNUMBER(C133),ISNUMBER(D133),C133&gt;=0.2,C133&lt;=0.8),D133,"")</f>
        <v/>
      </c>
      <c r="F133" s="5">
        <f>IF(ISNUMBER(E133),A133,"")</f>
        <v/>
      </c>
      <c r="G133" s="5">
        <f>IF(AND(ISNUMBER(E133),ISNUMBER($K$4)),E133-($K$7+$K$4*A133),"")</f>
        <v/>
      </c>
    </row>
    <row r="134">
      <c r="A134" s="4" t="n"/>
      <c r="B134" s="4" t="n"/>
      <c r="C134" s="5">
        <f>IF(AND(ISNUMBER(A134),ISNUMBER(B134),ISNUMBER($K$2),ISNUMBER($K$3),$K$3&gt;$K$2),(B134-$K$2)/($K$3-$K$2),"")</f>
        <v/>
      </c>
      <c r="D134" s="5">
        <f>IF(ISNUMBER(C134),IF(B134&lt;$K$3,LN(($K$3-$K$2)/($K$3-B134)),""),"")</f>
        <v/>
      </c>
      <c r="E134" s="5">
        <f>IF(AND(ISNUMBER(C134),ISNUMBER(D134),C134&gt;=0.2,C134&lt;=0.8),D134,"")</f>
        <v/>
      </c>
      <c r="F134" s="5">
        <f>IF(ISNUMBER(E134),A134,"")</f>
        <v/>
      </c>
      <c r="G134" s="5">
        <f>IF(AND(ISNUMBER(E134),ISNUMBER($K$4)),E134-($K$7+$K$4*A134),"")</f>
        <v/>
      </c>
    </row>
    <row r="135">
      <c r="A135" s="4" t="n"/>
      <c r="B135" s="4" t="n"/>
      <c r="C135" s="5">
        <f>IF(AND(ISNUMBER(A135),ISNUMBER(B135),ISNUMBER($K$2),ISNUMBER($K$3),$K$3&gt;$K$2),(B135-$K$2)/($K$3-$K$2),"")</f>
        <v/>
      </c>
      <c r="D135" s="5">
        <f>IF(ISNUMBER(C135),IF(B135&lt;$K$3,LN(($K$3-$K$2)/($K$3-B135)),""),"")</f>
        <v/>
      </c>
      <c r="E135" s="5">
        <f>IF(AND(ISNUMBER(C135),ISNUMBER(D135),C135&gt;=0.2,C135&lt;=0.8),D135,"")</f>
        <v/>
      </c>
      <c r="F135" s="5">
        <f>IF(ISNUMBER(E135),A135,"")</f>
        <v/>
      </c>
      <c r="G135" s="5">
        <f>IF(AND(ISNUMBER(E135),ISNUMBER($K$4)),E135-($K$7+$K$4*A135),"")</f>
        <v/>
      </c>
    </row>
    <row r="136">
      <c r="A136" s="4" t="n"/>
      <c r="B136" s="4" t="n"/>
      <c r="C136" s="5">
        <f>IF(AND(ISNUMBER(A136),ISNUMBER(B136),ISNUMBER($K$2),ISNUMBER($K$3),$K$3&gt;$K$2),(B136-$K$2)/($K$3-$K$2),"")</f>
        <v/>
      </c>
      <c r="D136" s="5">
        <f>IF(ISNUMBER(C136),IF(B136&lt;$K$3,LN(($K$3-$K$2)/($K$3-B136)),""),"")</f>
        <v/>
      </c>
      <c r="E136" s="5">
        <f>IF(AND(ISNUMBER(C136),ISNUMBER(D136),C136&gt;=0.2,C136&lt;=0.8),D136,"")</f>
        <v/>
      </c>
      <c r="F136" s="5">
        <f>IF(ISNUMBER(E136),A136,"")</f>
        <v/>
      </c>
      <c r="G136" s="5">
        <f>IF(AND(ISNUMBER(E136),ISNUMBER($K$4)),E136-($K$7+$K$4*A136),"")</f>
        <v/>
      </c>
    </row>
    <row r="137">
      <c r="A137" s="4" t="n"/>
      <c r="B137" s="4" t="n"/>
      <c r="C137" s="5">
        <f>IF(AND(ISNUMBER(A137),ISNUMBER(B137),ISNUMBER($K$2),ISNUMBER($K$3),$K$3&gt;$K$2),(B137-$K$2)/($K$3-$K$2),"")</f>
        <v/>
      </c>
      <c r="D137" s="5">
        <f>IF(ISNUMBER(C137),IF(B137&lt;$K$3,LN(($K$3-$K$2)/($K$3-B137)),""),"")</f>
        <v/>
      </c>
      <c r="E137" s="5">
        <f>IF(AND(ISNUMBER(C137),ISNUMBER(D137),C137&gt;=0.2,C137&lt;=0.8),D137,"")</f>
        <v/>
      </c>
      <c r="F137" s="5">
        <f>IF(ISNUMBER(E137),A137,"")</f>
        <v/>
      </c>
      <c r="G137" s="5">
        <f>IF(AND(ISNUMBER(E137),ISNUMBER($K$4)),E137-($K$7+$K$4*A137),"")</f>
        <v/>
      </c>
    </row>
    <row r="138">
      <c r="A138" s="4" t="n"/>
      <c r="B138" s="4" t="n"/>
      <c r="C138" s="5">
        <f>IF(AND(ISNUMBER(A138),ISNUMBER(B138),ISNUMBER($K$2),ISNUMBER($K$3),$K$3&gt;$K$2),(B138-$K$2)/($K$3-$K$2),"")</f>
        <v/>
      </c>
      <c r="D138" s="5">
        <f>IF(ISNUMBER(C138),IF(B138&lt;$K$3,LN(($K$3-$K$2)/($K$3-B138)),""),"")</f>
        <v/>
      </c>
      <c r="E138" s="5">
        <f>IF(AND(ISNUMBER(C138),ISNUMBER(D138),C138&gt;=0.2,C138&lt;=0.8),D138,"")</f>
        <v/>
      </c>
      <c r="F138" s="5">
        <f>IF(ISNUMBER(E138),A138,"")</f>
        <v/>
      </c>
      <c r="G138" s="5">
        <f>IF(AND(ISNUMBER(E138),ISNUMBER($K$4)),E138-($K$7+$K$4*A138),"")</f>
        <v/>
      </c>
    </row>
    <row r="139">
      <c r="A139" s="4" t="n"/>
      <c r="B139" s="4" t="n"/>
      <c r="C139" s="5">
        <f>IF(AND(ISNUMBER(A139),ISNUMBER(B139),ISNUMBER($K$2),ISNUMBER($K$3),$K$3&gt;$K$2),(B139-$K$2)/($K$3-$K$2),"")</f>
        <v/>
      </c>
      <c r="D139" s="5">
        <f>IF(ISNUMBER(C139),IF(B139&lt;$K$3,LN(($K$3-$K$2)/($K$3-B139)),""),"")</f>
        <v/>
      </c>
      <c r="E139" s="5">
        <f>IF(AND(ISNUMBER(C139),ISNUMBER(D139),C139&gt;=0.2,C139&lt;=0.8),D139,"")</f>
        <v/>
      </c>
      <c r="F139" s="5">
        <f>IF(ISNUMBER(E139),A139,"")</f>
        <v/>
      </c>
      <c r="G139" s="5">
        <f>IF(AND(ISNUMBER(E139),ISNUMBER($K$4)),E139-($K$7+$K$4*A139),"")</f>
        <v/>
      </c>
    </row>
    <row r="140">
      <c r="A140" s="4" t="n"/>
      <c r="B140" s="4" t="n"/>
      <c r="C140" s="5">
        <f>IF(AND(ISNUMBER(A140),ISNUMBER(B140),ISNUMBER($K$2),ISNUMBER($K$3),$K$3&gt;$K$2),(B140-$K$2)/($K$3-$K$2),"")</f>
        <v/>
      </c>
      <c r="D140" s="5">
        <f>IF(ISNUMBER(C140),IF(B140&lt;$K$3,LN(($K$3-$K$2)/($K$3-B140)),""),"")</f>
        <v/>
      </c>
      <c r="E140" s="5">
        <f>IF(AND(ISNUMBER(C140),ISNUMBER(D140),C140&gt;=0.2,C140&lt;=0.8),D140,"")</f>
        <v/>
      </c>
      <c r="F140" s="5">
        <f>IF(ISNUMBER(E140),A140,"")</f>
        <v/>
      </c>
      <c r="G140" s="5">
        <f>IF(AND(ISNUMBER(E140),ISNUMBER($K$4)),E140-($K$7+$K$4*A140),"")</f>
        <v/>
      </c>
    </row>
    <row r="141">
      <c r="A141" s="4" t="n"/>
      <c r="B141" s="4" t="n"/>
      <c r="C141" s="5">
        <f>IF(AND(ISNUMBER(A141),ISNUMBER(B141),ISNUMBER($K$2),ISNUMBER($K$3),$K$3&gt;$K$2),(B141-$K$2)/($K$3-$K$2),"")</f>
        <v/>
      </c>
      <c r="D141" s="5">
        <f>IF(ISNUMBER(C141),IF(B141&lt;$K$3,LN(($K$3-$K$2)/($K$3-B141)),""),"")</f>
        <v/>
      </c>
      <c r="E141" s="5">
        <f>IF(AND(ISNUMBER(C141),ISNUMBER(D141),C141&gt;=0.2,C141&lt;=0.8),D141,"")</f>
        <v/>
      </c>
      <c r="F141" s="5">
        <f>IF(ISNUMBER(E141),A141,"")</f>
        <v/>
      </c>
      <c r="G141" s="5">
        <f>IF(AND(ISNUMBER(E141),ISNUMBER($K$4)),E141-($K$7+$K$4*A141),"")</f>
        <v/>
      </c>
    </row>
    <row r="142">
      <c r="A142" s="4" t="n"/>
      <c r="B142" s="4" t="n"/>
      <c r="C142" s="5">
        <f>IF(AND(ISNUMBER(A142),ISNUMBER(B142),ISNUMBER($K$2),ISNUMBER($K$3),$K$3&gt;$K$2),(B142-$K$2)/($K$3-$K$2),"")</f>
        <v/>
      </c>
      <c r="D142" s="5">
        <f>IF(ISNUMBER(C142),IF(B142&lt;$K$3,LN(($K$3-$K$2)/($K$3-B142)),""),"")</f>
        <v/>
      </c>
      <c r="E142" s="5">
        <f>IF(AND(ISNUMBER(C142),ISNUMBER(D142),C142&gt;=0.2,C142&lt;=0.8),D142,"")</f>
        <v/>
      </c>
      <c r="F142" s="5">
        <f>IF(ISNUMBER(E142),A142,"")</f>
        <v/>
      </c>
      <c r="G142" s="5">
        <f>IF(AND(ISNUMBER(E142),ISNUMBER($K$4)),E142-($K$7+$K$4*A142),"")</f>
        <v/>
      </c>
    </row>
    <row r="143">
      <c r="A143" s="4" t="n"/>
      <c r="B143" s="4" t="n"/>
      <c r="C143" s="5">
        <f>IF(AND(ISNUMBER(A143),ISNUMBER(B143),ISNUMBER($K$2),ISNUMBER($K$3),$K$3&gt;$K$2),(B143-$K$2)/($K$3-$K$2),"")</f>
        <v/>
      </c>
      <c r="D143" s="5">
        <f>IF(ISNUMBER(C143),IF(B143&lt;$K$3,LN(($K$3-$K$2)/($K$3-B143)),""),"")</f>
        <v/>
      </c>
      <c r="E143" s="5">
        <f>IF(AND(ISNUMBER(C143),ISNUMBER(D143),C143&gt;=0.2,C143&lt;=0.8),D143,"")</f>
        <v/>
      </c>
      <c r="F143" s="5">
        <f>IF(ISNUMBER(E143),A143,"")</f>
        <v/>
      </c>
      <c r="G143" s="5">
        <f>IF(AND(ISNUMBER(E143),ISNUMBER($K$4)),E143-($K$7+$K$4*A143),"")</f>
        <v/>
      </c>
    </row>
    <row r="144">
      <c r="A144" s="4" t="n"/>
      <c r="B144" s="4" t="n"/>
      <c r="C144" s="5">
        <f>IF(AND(ISNUMBER(A144),ISNUMBER(B144),ISNUMBER($K$2),ISNUMBER($K$3),$K$3&gt;$K$2),(B144-$K$2)/($K$3-$K$2),"")</f>
        <v/>
      </c>
      <c r="D144" s="5">
        <f>IF(ISNUMBER(C144),IF(B144&lt;$K$3,LN(($K$3-$K$2)/($K$3-B144)),""),"")</f>
        <v/>
      </c>
      <c r="E144" s="5">
        <f>IF(AND(ISNUMBER(C144),ISNUMBER(D144),C144&gt;=0.2,C144&lt;=0.8),D144,"")</f>
        <v/>
      </c>
      <c r="F144" s="5">
        <f>IF(ISNUMBER(E144),A144,"")</f>
        <v/>
      </c>
      <c r="G144" s="5">
        <f>IF(AND(ISNUMBER(E144),ISNUMBER($K$4)),E144-($K$7+$K$4*A144),"")</f>
        <v/>
      </c>
    </row>
    <row r="145">
      <c r="A145" s="4" t="n"/>
      <c r="B145" s="4" t="n"/>
      <c r="C145" s="5">
        <f>IF(AND(ISNUMBER(A145),ISNUMBER(B145),ISNUMBER($K$2),ISNUMBER($K$3),$K$3&gt;$K$2),(B145-$K$2)/($K$3-$K$2),"")</f>
        <v/>
      </c>
      <c r="D145" s="5">
        <f>IF(ISNUMBER(C145),IF(B145&lt;$K$3,LN(($K$3-$K$2)/($K$3-B145)),""),"")</f>
        <v/>
      </c>
      <c r="E145" s="5">
        <f>IF(AND(ISNUMBER(C145),ISNUMBER(D145),C145&gt;=0.2,C145&lt;=0.8),D145,"")</f>
        <v/>
      </c>
      <c r="F145" s="5">
        <f>IF(ISNUMBER(E145),A145,"")</f>
        <v/>
      </c>
      <c r="G145" s="5">
        <f>IF(AND(ISNUMBER(E145),ISNUMBER($K$4)),E145-($K$7+$K$4*A145),"")</f>
        <v/>
      </c>
    </row>
    <row r="146">
      <c r="A146" s="4" t="n"/>
      <c r="B146" s="4" t="n"/>
      <c r="C146" s="5">
        <f>IF(AND(ISNUMBER(A146),ISNUMBER(B146),ISNUMBER($K$2),ISNUMBER($K$3),$K$3&gt;$K$2),(B146-$K$2)/($K$3-$K$2),"")</f>
        <v/>
      </c>
      <c r="D146" s="5">
        <f>IF(ISNUMBER(C146),IF(B146&lt;$K$3,LN(($K$3-$K$2)/($K$3-B146)),""),"")</f>
        <v/>
      </c>
      <c r="E146" s="5">
        <f>IF(AND(ISNUMBER(C146),ISNUMBER(D146),C146&gt;=0.2,C146&lt;=0.8),D146,"")</f>
        <v/>
      </c>
      <c r="F146" s="5">
        <f>IF(ISNUMBER(E146),A146,"")</f>
        <v/>
      </c>
      <c r="G146" s="5">
        <f>IF(AND(ISNUMBER(E146),ISNUMBER($K$4)),E146-($K$7+$K$4*A146),"")</f>
        <v/>
      </c>
    </row>
    <row r="147">
      <c r="A147" s="4" t="n"/>
      <c r="B147" s="4" t="n"/>
      <c r="C147" s="5">
        <f>IF(AND(ISNUMBER(A147),ISNUMBER(B147),ISNUMBER($K$2),ISNUMBER($K$3),$K$3&gt;$K$2),(B147-$K$2)/($K$3-$K$2),"")</f>
        <v/>
      </c>
      <c r="D147" s="5">
        <f>IF(ISNUMBER(C147),IF(B147&lt;$K$3,LN(($K$3-$K$2)/($K$3-B147)),""),"")</f>
        <v/>
      </c>
      <c r="E147" s="5">
        <f>IF(AND(ISNUMBER(C147),ISNUMBER(D147),C147&gt;=0.2,C147&lt;=0.8),D147,"")</f>
        <v/>
      </c>
      <c r="F147" s="5">
        <f>IF(ISNUMBER(E147),A147,"")</f>
        <v/>
      </c>
      <c r="G147" s="5">
        <f>IF(AND(ISNUMBER(E147),ISNUMBER($K$4)),E147-($K$7+$K$4*A147),"")</f>
        <v/>
      </c>
    </row>
    <row r="148">
      <c r="A148" s="4" t="n"/>
      <c r="B148" s="4" t="n"/>
      <c r="C148" s="5">
        <f>IF(AND(ISNUMBER(A148),ISNUMBER(B148),ISNUMBER($K$2),ISNUMBER($K$3),$K$3&gt;$K$2),(B148-$K$2)/($K$3-$K$2),"")</f>
        <v/>
      </c>
      <c r="D148" s="5">
        <f>IF(ISNUMBER(C148),IF(B148&lt;$K$3,LN(($K$3-$K$2)/($K$3-B148)),""),"")</f>
        <v/>
      </c>
      <c r="E148" s="5">
        <f>IF(AND(ISNUMBER(C148),ISNUMBER(D148),C148&gt;=0.2,C148&lt;=0.8),D148,"")</f>
        <v/>
      </c>
      <c r="F148" s="5">
        <f>IF(ISNUMBER(E148),A148,"")</f>
        <v/>
      </c>
      <c r="G148" s="5">
        <f>IF(AND(ISNUMBER(E148),ISNUMBER($K$4)),E148-($K$7+$K$4*A148),"")</f>
        <v/>
      </c>
    </row>
    <row r="149">
      <c r="A149" s="4" t="n"/>
      <c r="B149" s="4" t="n"/>
      <c r="C149" s="5">
        <f>IF(AND(ISNUMBER(A149),ISNUMBER(B149),ISNUMBER($K$2),ISNUMBER($K$3),$K$3&gt;$K$2),(B149-$K$2)/($K$3-$K$2),"")</f>
        <v/>
      </c>
      <c r="D149" s="5">
        <f>IF(ISNUMBER(C149),IF(B149&lt;$K$3,LN(($K$3-$K$2)/($K$3-B149)),""),"")</f>
        <v/>
      </c>
      <c r="E149" s="5">
        <f>IF(AND(ISNUMBER(C149),ISNUMBER(D149),C149&gt;=0.2,C149&lt;=0.8),D149,"")</f>
        <v/>
      </c>
      <c r="F149" s="5">
        <f>IF(ISNUMBER(E149),A149,"")</f>
        <v/>
      </c>
      <c r="G149" s="5">
        <f>IF(AND(ISNUMBER(E149),ISNUMBER($K$4)),E149-($K$7+$K$4*A149),"")</f>
        <v/>
      </c>
    </row>
    <row r="150">
      <c r="A150" s="4" t="n"/>
      <c r="B150" s="4" t="n"/>
      <c r="C150" s="5">
        <f>IF(AND(ISNUMBER(A150),ISNUMBER(B150),ISNUMBER($K$2),ISNUMBER($K$3),$K$3&gt;$K$2),(B150-$K$2)/($K$3-$K$2),"")</f>
        <v/>
      </c>
      <c r="D150" s="5">
        <f>IF(ISNUMBER(C150),IF(B150&lt;$K$3,LN(($K$3-$K$2)/($K$3-B150)),""),"")</f>
        <v/>
      </c>
      <c r="E150" s="5">
        <f>IF(AND(ISNUMBER(C150),ISNUMBER(D150),C150&gt;=0.2,C150&lt;=0.8),D150,"")</f>
        <v/>
      </c>
      <c r="F150" s="5">
        <f>IF(ISNUMBER(E150),A150,"")</f>
        <v/>
      </c>
      <c r="G150" s="5">
        <f>IF(AND(ISNUMBER(E150),ISNUMBER($K$4)),E150-($K$7+$K$4*A150),"")</f>
        <v/>
      </c>
    </row>
    <row r="151">
      <c r="A151" s="4" t="n"/>
      <c r="B151" s="4" t="n"/>
      <c r="C151" s="5">
        <f>IF(AND(ISNUMBER(A151),ISNUMBER(B151),ISNUMBER($K$2),ISNUMBER($K$3),$K$3&gt;$K$2),(B151-$K$2)/($K$3-$K$2),"")</f>
        <v/>
      </c>
      <c r="D151" s="5">
        <f>IF(ISNUMBER(C151),IF(B151&lt;$K$3,LN(($K$3-$K$2)/($K$3-B151)),""),"")</f>
        <v/>
      </c>
      <c r="E151" s="5">
        <f>IF(AND(ISNUMBER(C151),ISNUMBER(D151),C151&gt;=0.2,C151&lt;=0.8),D151,"")</f>
        <v/>
      </c>
      <c r="F151" s="5">
        <f>IF(ISNUMBER(E151),A151,"")</f>
        <v/>
      </c>
      <c r="G151" s="5">
        <f>IF(AND(ISNUMBER(E151),ISNUMBER($K$4)),E151-($K$7+$K$4*A151),"")</f>
        <v/>
      </c>
    </row>
    <row r="152">
      <c r="A152" s="4" t="n"/>
      <c r="B152" s="4" t="n"/>
      <c r="C152" s="5">
        <f>IF(AND(ISNUMBER(A152),ISNUMBER(B152),ISNUMBER($K$2),ISNUMBER($K$3),$K$3&gt;$K$2),(B152-$K$2)/($K$3-$K$2),"")</f>
        <v/>
      </c>
      <c r="D152" s="5">
        <f>IF(ISNUMBER(C152),IF(B152&lt;$K$3,LN(($K$3-$K$2)/($K$3-B152)),""),"")</f>
        <v/>
      </c>
      <c r="E152" s="5">
        <f>IF(AND(ISNUMBER(C152),ISNUMBER(D152),C152&gt;=0.2,C152&lt;=0.8),D152,"")</f>
        <v/>
      </c>
      <c r="F152" s="5">
        <f>IF(ISNUMBER(E152),A152,"")</f>
        <v/>
      </c>
      <c r="G152" s="5">
        <f>IF(AND(ISNUMBER(E152),ISNUMBER($K$4)),E152-($K$7+$K$4*A152),"")</f>
        <v/>
      </c>
    </row>
    <row r="153">
      <c r="A153" s="4" t="n"/>
      <c r="B153" s="4" t="n"/>
      <c r="C153" s="5">
        <f>IF(AND(ISNUMBER(A153),ISNUMBER(B153),ISNUMBER($K$2),ISNUMBER($K$3),$K$3&gt;$K$2),(B153-$K$2)/($K$3-$K$2),"")</f>
        <v/>
      </c>
      <c r="D153" s="5">
        <f>IF(ISNUMBER(C153),IF(B153&lt;$K$3,LN(($K$3-$K$2)/($K$3-B153)),""),"")</f>
        <v/>
      </c>
      <c r="E153" s="5">
        <f>IF(AND(ISNUMBER(C153),ISNUMBER(D153),C153&gt;=0.2,C153&lt;=0.8),D153,"")</f>
        <v/>
      </c>
      <c r="F153" s="5">
        <f>IF(ISNUMBER(E153),A153,"")</f>
        <v/>
      </c>
      <c r="G153" s="5">
        <f>IF(AND(ISNUMBER(E153),ISNUMBER($K$4)),E153-($K$7+$K$4*A153),"")</f>
        <v/>
      </c>
    </row>
    <row r="154">
      <c r="A154" s="4" t="n"/>
      <c r="B154" s="4" t="n"/>
      <c r="C154" s="5">
        <f>IF(AND(ISNUMBER(A154),ISNUMBER(B154),ISNUMBER($K$2),ISNUMBER($K$3),$K$3&gt;$K$2),(B154-$K$2)/($K$3-$K$2),"")</f>
        <v/>
      </c>
      <c r="D154" s="5">
        <f>IF(ISNUMBER(C154),IF(B154&lt;$K$3,LN(($K$3-$K$2)/($K$3-B154)),""),"")</f>
        <v/>
      </c>
      <c r="E154" s="5">
        <f>IF(AND(ISNUMBER(C154),ISNUMBER(D154),C154&gt;=0.2,C154&lt;=0.8),D154,"")</f>
        <v/>
      </c>
      <c r="F154" s="5">
        <f>IF(ISNUMBER(E154),A154,"")</f>
        <v/>
      </c>
      <c r="G154" s="5">
        <f>IF(AND(ISNUMBER(E154),ISNUMBER($K$4)),E154-($K$7+$K$4*A154),"")</f>
        <v/>
      </c>
    </row>
    <row r="155">
      <c r="A155" s="4" t="n"/>
      <c r="B155" s="4" t="n"/>
      <c r="C155" s="5">
        <f>IF(AND(ISNUMBER(A155),ISNUMBER(B155),ISNUMBER($K$2),ISNUMBER($K$3),$K$3&gt;$K$2),(B155-$K$2)/($K$3-$K$2),"")</f>
        <v/>
      </c>
      <c r="D155" s="5">
        <f>IF(ISNUMBER(C155),IF(B155&lt;$K$3,LN(($K$3-$K$2)/($K$3-B155)),""),"")</f>
        <v/>
      </c>
      <c r="E155" s="5">
        <f>IF(AND(ISNUMBER(C155),ISNUMBER(D155),C155&gt;=0.2,C155&lt;=0.8),D155,"")</f>
        <v/>
      </c>
      <c r="F155" s="5">
        <f>IF(ISNUMBER(E155),A155,"")</f>
        <v/>
      </c>
      <c r="G155" s="5">
        <f>IF(AND(ISNUMBER(E155),ISNUMBER($K$4)),E155-($K$7+$K$4*A155),"")</f>
        <v/>
      </c>
    </row>
    <row r="156">
      <c r="A156" s="4" t="n"/>
      <c r="B156" s="4" t="n"/>
      <c r="C156" s="5">
        <f>IF(AND(ISNUMBER(A156),ISNUMBER(B156),ISNUMBER($K$2),ISNUMBER($K$3),$K$3&gt;$K$2),(B156-$K$2)/($K$3-$K$2),"")</f>
        <v/>
      </c>
      <c r="D156" s="5">
        <f>IF(ISNUMBER(C156),IF(B156&lt;$K$3,LN(($K$3-$K$2)/($K$3-B156)),""),"")</f>
        <v/>
      </c>
      <c r="E156" s="5">
        <f>IF(AND(ISNUMBER(C156),ISNUMBER(D156),C156&gt;=0.2,C156&lt;=0.8),D156,"")</f>
        <v/>
      </c>
      <c r="F156" s="5">
        <f>IF(ISNUMBER(E156),A156,"")</f>
        <v/>
      </c>
      <c r="G156" s="5">
        <f>IF(AND(ISNUMBER(E156),ISNUMBER($K$4)),E156-($K$7+$K$4*A156),"")</f>
        <v/>
      </c>
    </row>
    <row r="157">
      <c r="A157" s="4" t="n"/>
      <c r="B157" s="4" t="n"/>
      <c r="C157" s="5">
        <f>IF(AND(ISNUMBER(A157),ISNUMBER(B157),ISNUMBER($K$2),ISNUMBER($K$3),$K$3&gt;$K$2),(B157-$K$2)/($K$3-$K$2),"")</f>
        <v/>
      </c>
      <c r="D157" s="5">
        <f>IF(ISNUMBER(C157),IF(B157&lt;$K$3,LN(($K$3-$K$2)/($K$3-B157)),""),"")</f>
        <v/>
      </c>
      <c r="E157" s="5">
        <f>IF(AND(ISNUMBER(C157),ISNUMBER(D157),C157&gt;=0.2,C157&lt;=0.8),D157,"")</f>
        <v/>
      </c>
      <c r="F157" s="5">
        <f>IF(ISNUMBER(E157),A157,"")</f>
        <v/>
      </c>
      <c r="G157" s="5">
        <f>IF(AND(ISNUMBER(E157),ISNUMBER($K$4)),E157-($K$7+$K$4*A157),"")</f>
        <v/>
      </c>
    </row>
    <row r="158">
      <c r="A158" s="4" t="n"/>
      <c r="B158" s="4" t="n"/>
      <c r="C158" s="5">
        <f>IF(AND(ISNUMBER(A158),ISNUMBER(B158),ISNUMBER($K$2),ISNUMBER($K$3),$K$3&gt;$K$2),(B158-$K$2)/($K$3-$K$2),"")</f>
        <v/>
      </c>
      <c r="D158" s="5">
        <f>IF(ISNUMBER(C158),IF(B158&lt;$K$3,LN(($K$3-$K$2)/($K$3-B158)),""),"")</f>
        <v/>
      </c>
      <c r="E158" s="5">
        <f>IF(AND(ISNUMBER(C158),ISNUMBER(D158),C158&gt;=0.2,C158&lt;=0.8),D158,"")</f>
        <v/>
      </c>
      <c r="F158" s="5">
        <f>IF(ISNUMBER(E158),A158,"")</f>
        <v/>
      </c>
      <c r="G158" s="5">
        <f>IF(AND(ISNUMBER(E158),ISNUMBER($K$4)),E158-($K$7+$K$4*A158),"")</f>
        <v/>
      </c>
    </row>
    <row r="159">
      <c r="A159" s="4" t="n"/>
      <c r="B159" s="4" t="n"/>
      <c r="C159" s="5">
        <f>IF(AND(ISNUMBER(A159),ISNUMBER(B159),ISNUMBER($K$2),ISNUMBER($K$3),$K$3&gt;$K$2),(B159-$K$2)/($K$3-$K$2),"")</f>
        <v/>
      </c>
      <c r="D159" s="5">
        <f>IF(ISNUMBER(C159),IF(B159&lt;$K$3,LN(($K$3-$K$2)/($K$3-B159)),""),"")</f>
        <v/>
      </c>
      <c r="E159" s="5">
        <f>IF(AND(ISNUMBER(C159),ISNUMBER(D159),C159&gt;=0.2,C159&lt;=0.8),D159,"")</f>
        <v/>
      </c>
      <c r="F159" s="5">
        <f>IF(ISNUMBER(E159),A159,"")</f>
        <v/>
      </c>
      <c r="G159" s="5">
        <f>IF(AND(ISNUMBER(E159),ISNUMBER($K$4)),E159-($K$7+$K$4*A159),"")</f>
        <v/>
      </c>
    </row>
    <row r="160">
      <c r="A160" s="4" t="n"/>
      <c r="B160" s="4" t="n"/>
      <c r="C160" s="5">
        <f>IF(AND(ISNUMBER(A160),ISNUMBER(B160),ISNUMBER($K$2),ISNUMBER($K$3),$K$3&gt;$K$2),(B160-$K$2)/($K$3-$K$2),"")</f>
        <v/>
      </c>
      <c r="D160" s="5">
        <f>IF(ISNUMBER(C160),IF(B160&lt;$K$3,LN(($K$3-$K$2)/($K$3-B160)),""),"")</f>
        <v/>
      </c>
      <c r="E160" s="5">
        <f>IF(AND(ISNUMBER(C160),ISNUMBER(D160),C160&gt;=0.2,C160&lt;=0.8),D160,"")</f>
        <v/>
      </c>
      <c r="F160" s="5">
        <f>IF(ISNUMBER(E160),A160,"")</f>
        <v/>
      </c>
      <c r="G160" s="5">
        <f>IF(AND(ISNUMBER(E160),ISNUMBER($K$4)),E160-($K$7+$K$4*A160),"")</f>
        <v/>
      </c>
    </row>
    <row r="161">
      <c r="A161" s="4" t="n"/>
      <c r="B161" s="4" t="n"/>
      <c r="C161" s="5">
        <f>IF(AND(ISNUMBER(A161),ISNUMBER(B161),ISNUMBER($K$2),ISNUMBER($K$3),$K$3&gt;$K$2),(B161-$K$2)/($K$3-$K$2),"")</f>
        <v/>
      </c>
      <c r="D161" s="5">
        <f>IF(ISNUMBER(C161),IF(B161&lt;$K$3,LN(($K$3-$K$2)/($K$3-B161)),""),"")</f>
        <v/>
      </c>
      <c r="E161" s="5">
        <f>IF(AND(ISNUMBER(C161),ISNUMBER(D161),C161&gt;=0.2,C161&lt;=0.8),D161,"")</f>
        <v/>
      </c>
      <c r="F161" s="5">
        <f>IF(ISNUMBER(E161),A161,"")</f>
        <v/>
      </c>
      <c r="G161" s="5">
        <f>IF(AND(ISNUMBER(E161),ISNUMBER($K$4)),E161-($K$7+$K$4*A161),"")</f>
        <v/>
      </c>
    </row>
    <row r="162">
      <c r="A162" s="4" t="n"/>
      <c r="B162" s="4" t="n"/>
      <c r="C162" s="5">
        <f>IF(AND(ISNUMBER(A162),ISNUMBER(B162),ISNUMBER($K$2),ISNUMBER($K$3),$K$3&gt;$K$2),(B162-$K$2)/($K$3-$K$2),"")</f>
        <v/>
      </c>
      <c r="D162" s="5">
        <f>IF(ISNUMBER(C162),IF(B162&lt;$K$3,LN(($K$3-$K$2)/($K$3-B162)),""),"")</f>
        <v/>
      </c>
      <c r="E162" s="5">
        <f>IF(AND(ISNUMBER(C162),ISNUMBER(D162),C162&gt;=0.2,C162&lt;=0.8),D162,"")</f>
        <v/>
      </c>
      <c r="F162" s="5">
        <f>IF(ISNUMBER(E162),A162,"")</f>
        <v/>
      </c>
      <c r="G162" s="5">
        <f>IF(AND(ISNUMBER(E162),ISNUMBER($K$4)),E162-($K$7+$K$4*A162),"")</f>
        <v/>
      </c>
    </row>
    <row r="163">
      <c r="A163" s="4" t="n"/>
      <c r="B163" s="4" t="n"/>
      <c r="C163" s="5">
        <f>IF(AND(ISNUMBER(A163),ISNUMBER(B163),ISNUMBER($K$2),ISNUMBER($K$3),$K$3&gt;$K$2),(B163-$K$2)/($K$3-$K$2),"")</f>
        <v/>
      </c>
      <c r="D163" s="5">
        <f>IF(ISNUMBER(C163),IF(B163&lt;$K$3,LN(($K$3-$K$2)/($K$3-B163)),""),"")</f>
        <v/>
      </c>
      <c r="E163" s="5">
        <f>IF(AND(ISNUMBER(C163),ISNUMBER(D163),C163&gt;=0.2,C163&lt;=0.8),D163,"")</f>
        <v/>
      </c>
      <c r="F163" s="5">
        <f>IF(ISNUMBER(E163),A163,"")</f>
        <v/>
      </c>
      <c r="G163" s="5">
        <f>IF(AND(ISNUMBER(E163),ISNUMBER($K$4)),E163-($K$7+$K$4*A163),"")</f>
        <v/>
      </c>
    </row>
    <row r="164">
      <c r="A164" s="4" t="n"/>
      <c r="B164" s="4" t="n"/>
      <c r="C164" s="5">
        <f>IF(AND(ISNUMBER(A164),ISNUMBER(B164),ISNUMBER($K$2),ISNUMBER($K$3),$K$3&gt;$K$2),(B164-$K$2)/($K$3-$K$2),"")</f>
        <v/>
      </c>
      <c r="D164" s="5">
        <f>IF(ISNUMBER(C164),IF(B164&lt;$K$3,LN(($K$3-$K$2)/($K$3-B164)),""),"")</f>
        <v/>
      </c>
      <c r="E164" s="5">
        <f>IF(AND(ISNUMBER(C164),ISNUMBER(D164),C164&gt;=0.2,C164&lt;=0.8),D164,"")</f>
        <v/>
      </c>
      <c r="F164" s="5">
        <f>IF(ISNUMBER(E164),A164,"")</f>
        <v/>
      </c>
      <c r="G164" s="5">
        <f>IF(AND(ISNUMBER(E164),ISNUMBER($K$4)),E164-($K$7+$K$4*A164),"")</f>
        <v/>
      </c>
    </row>
    <row r="165">
      <c r="A165" s="4" t="n"/>
      <c r="B165" s="4" t="n"/>
      <c r="C165" s="5">
        <f>IF(AND(ISNUMBER(A165),ISNUMBER(B165),ISNUMBER($K$2),ISNUMBER($K$3),$K$3&gt;$K$2),(B165-$K$2)/($K$3-$K$2),"")</f>
        <v/>
      </c>
      <c r="D165" s="5">
        <f>IF(ISNUMBER(C165),IF(B165&lt;$K$3,LN(($K$3-$K$2)/($K$3-B165)),""),"")</f>
        <v/>
      </c>
      <c r="E165" s="5">
        <f>IF(AND(ISNUMBER(C165),ISNUMBER(D165),C165&gt;=0.2,C165&lt;=0.8),D165,"")</f>
        <v/>
      </c>
      <c r="F165" s="5">
        <f>IF(ISNUMBER(E165),A165,"")</f>
        <v/>
      </c>
      <c r="G165" s="5">
        <f>IF(AND(ISNUMBER(E165),ISNUMBER($K$4)),E165-($K$7+$K$4*A165),"")</f>
        <v/>
      </c>
    </row>
    <row r="166">
      <c r="A166" s="4" t="n"/>
      <c r="B166" s="4" t="n"/>
      <c r="C166" s="5">
        <f>IF(AND(ISNUMBER(A166),ISNUMBER(B166),ISNUMBER($K$2),ISNUMBER($K$3),$K$3&gt;$K$2),(B166-$K$2)/($K$3-$K$2),"")</f>
        <v/>
      </c>
      <c r="D166" s="5">
        <f>IF(ISNUMBER(C166),IF(B166&lt;$K$3,LN(($K$3-$K$2)/($K$3-B166)),""),"")</f>
        <v/>
      </c>
      <c r="E166" s="5">
        <f>IF(AND(ISNUMBER(C166),ISNUMBER(D166),C166&gt;=0.2,C166&lt;=0.8),D166,"")</f>
        <v/>
      </c>
      <c r="F166" s="5">
        <f>IF(ISNUMBER(E166),A166,"")</f>
        <v/>
      </c>
      <c r="G166" s="5">
        <f>IF(AND(ISNUMBER(E166),ISNUMBER($K$4)),E166-($K$7+$K$4*A166),"")</f>
        <v/>
      </c>
    </row>
    <row r="167">
      <c r="A167" s="4" t="n"/>
      <c r="B167" s="4" t="n"/>
      <c r="C167" s="5">
        <f>IF(AND(ISNUMBER(A167),ISNUMBER(B167),ISNUMBER($K$2),ISNUMBER($K$3),$K$3&gt;$K$2),(B167-$K$2)/($K$3-$K$2),"")</f>
        <v/>
      </c>
      <c r="D167" s="5">
        <f>IF(ISNUMBER(C167),IF(B167&lt;$K$3,LN(($K$3-$K$2)/($K$3-B167)),""),"")</f>
        <v/>
      </c>
      <c r="E167" s="5">
        <f>IF(AND(ISNUMBER(C167),ISNUMBER(D167),C167&gt;=0.2,C167&lt;=0.8),D167,"")</f>
        <v/>
      </c>
      <c r="F167" s="5">
        <f>IF(ISNUMBER(E167),A167,"")</f>
        <v/>
      </c>
      <c r="G167" s="5">
        <f>IF(AND(ISNUMBER(E167),ISNUMBER($K$4)),E167-($K$7+$K$4*A167),"")</f>
        <v/>
      </c>
    </row>
    <row r="168">
      <c r="A168" s="4" t="n"/>
      <c r="B168" s="4" t="n"/>
      <c r="C168" s="5">
        <f>IF(AND(ISNUMBER(A168),ISNUMBER(B168),ISNUMBER($K$2),ISNUMBER($K$3),$K$3&gt;$K$2),(B168-$K$2)/($K$3-$K$2),"")</f>
        <v/>
      </c>
      <c r="D168" s="5">
        <f>IF(ISNUMBER(C168),IF(B168&lt;$K$3,LN(($K$3-$K$2)/($K$3-B168)),""),"")</f>
        <v/>
      </c>
      <c r="E168" s="5">
        <f>IF(AND(ISNUMBER(C168),ISNUMBER(D168),C168&gt;=0.2,C168&lt;=0.8),D168,"")</f>
        <v/>
      </c>
      <c r="F168" s="5">
        <f>IF(ISNUMBER(E168),A168,"")</f>
        <v/>
      </c>
      <c r="G168" s="5">
        <f>IF(AND(ISNUMBER(E168),ISNUMBER($K$4)),E168-($K$7+$K$4*A168),"")</f>
        <v/>
      </c>
    </row>
    <row r="169">
      <c r="A169" s="4" t="n"/>
      <c r="B169" s="4" t="n"/>
      <c r="C169" s="5">
        <f>IF(AND(ISNUMBER(A169),ISNUMBER(B169),ISNUMBER($K$2),ISNUMBER($K$3),$K$3&gt;$K$2),(B169-$K$2)/($K$3-$K$2),"")</f>
        <v/>
      </c>
      <c r="D169" s="5">
        <f>IF(ISNUMBER(C169),IF(B169&lt;$K$3,LN(($K$3-$K$2)/($K$3-B169)),""),"")</f>
        <v/>
      </c>
      <c r="E169" s="5">
        <f>IF(AND(ISNUMBER(C169),ISNUMBER(D169),C169&gt;=0.2,C169&lt;=0.8),D169,"")</f>
        <v/>
      </c>
      <c r="F169" s="5">
        <f>IF(ISNUMBER(E169),A169,"")</f>
        <v/>
      </c>
      <c r="G169" s="5">
        <f>IF(AND(ISNUMBER(E169),ISNUMBER($K$4)),E169-($K$7+$K$4*A169),"")</f>
        <v/>
      </c>
    </row>
    <row r="170">
      <c r="A170" s="4" t="n"/>
      <c r="B170" s="4" t="n"/>
      <c r="C170" s="5">
        <f>IF(AND(ISNUMBER(A170),ISNUMBER(B170),ISNUMBER($K$2),ISNUMBER($K$3),$K$3&gt;$K$2),(B170-$K$2)/($K$3-$K$2),"")</f>
        <v/>
      </c>
      <c r="D170" s="5">
        <f>IF(ISNUMBER(C170),IF(B170&lt;$K$3,LN(($K$3-$K$2)/($K$3-B170)),""),"")</f>
        <v/>
      </c>
      <c r="E170" s="5">
        <f>IF(AND(ISNUMBER(C170),ISNUMBER(D170),C170&gt;=0.2,C170&lt;=0.8),D170,"")</f>
        <v/>
      </c>
      <c r="F170" s="5">
        <f>IF(ISNUMBER(E170),A170,"")</f>
        <v/>
      </c>
      <c r="G170" s="5">
        <f>IF(AND(ISNUMBER(E170),ISNUMBER($K$4)),E170-($K$7+$K$4*A170),"")</f>
        <v/>
      </c>
    </row>
    <row r="171">
      <c r="A171" s="4" t="n"/>
      <c r="B171" s="4" t="n"/>
      <c r="C171" s="5">
        <f>IF(AND(ISNUMBER(A171),ISNUMBER(B171),ISNUMBER($K$2),ISNUMBER($K$3),$K$3&gt;$K$2),(B171-$K$2)/($K$3-$K$2),"")</f>
        <v/>
      </c>
      <c r="D171" s="5">
        <f>IF(ISNUMBER(C171),IF(B171&lt;$K$3,LN(($K$3-$K$2)/($K$3-B171)),""),"")</f>
        <v/>
      </c>
      <c r="E171" s="5">
        <f>IF(AND(ISNUMBER(C171),ISNUMBER(D171),C171&gt;=0.2,C171&lt;=0.8),D171,"")</f>
        <v/>
      </c>
      <c r="F171" s="5">
        <f>IF(ISNUMBER(E171),A171,"")</f>
        <v/>
      </c>
      <c r="G171" s="5">
        <f>IF(AND(ISNUMBER(E171),ISNUMBER($K$4)),E171-($K$7+$K$4*A171),"")</f>
        <v/>
      </c>
    </row>
    <row r="172">
      <c r="A172" s="4" t="n"/>
      <c r="B172" s="4" t="n"/>
      <c r="C172" s="5">
        <f>IF(AND(ISNUMBER(A172),ISNUMBER(B172),ISNUMBER($K$2),ISNUMBER($K$3),$K$3&gt;$K$2),(B172-$K$2)/($K$3-$K$2),"")</f>
        <v/>
      </c>
      <c r="D172" s="5">
        <f>IF(ISNUMBER(C172),IF(B172&lt;$K$3,LN(($K$3-$K$2)/($K$3-B172)),""),"")</f>
        <v/>
      </c>
      <c r="E172" s="5">
        <f>IF(AND(ISNUMBER(C172),ISNUMBER(D172),C172&gt;=0.2,C172&lt;=0.8),D172,"")</f>
        <v/>
      </c>
      <c r="F172" s="5">
        <f>IF(ISNUMBER(E172),A172,"")</f>
        <v/>
      </c>
      <c r="G172" s="5">
        <f>IF(AND(ISNUMBER(E172),ISNUMBER($K$4)),E172-($K$7+$K$4*A172),"")</f>
        <v/>
      </c>
    </row>
    <row r="173">
      <c r="A173" s="4" t="n"/>
      <c r="B173" s="4" t="n"/>
      <c r="C173" s="5">
        <f>IF(AND(ISNUMBER(A173),ISNUMBER(B173),ISNUMBER($K$2),ISNUMBER($K$3),$K$3&gt;$K$2),(B173-$K$2)/($K$3-$K$2),"")</f>
        <v/>
      </c>
      <c r="D173" s="5">
        <f>IF(ISNUMBER(C173),IF(B173&lt;$K$3,LN(($K$3-$K$2)/($K$3-B173)),""),"")</f>
        <v/>
      </c>
      <c r="E173" s="5">
        <f>IF(AND(ISNUMBER(C173),ISNUMBER(D173),C173&gt;=0.2,C173&lt;=0.8),D173,"")</f>
        <v/>
      </c>
      <c r="F173" s="5">
        <f>IF(ISNUMBER(E173),A173,"")</f>
        <v/>
      </c>
      <c r="G173" s="5">
        <f>IF(AND(ISNUMBER(E173),ISNUMBER($K$4)),E173-($K$7+$K$4*A173),"")</f>
        <v/>
      </c>
    </row>
    <row r="174">
      <c r="A174" s="4" t="n"/>
      <c r="B174" s="4" t="n"/>
      <c r="C174" s="5">
        <f>IF(AND(ISNUMBER(A174),ISNUMBER(B174),ISNUMBER($K$2),ISNUMBER($K$3),$K$3&gt;$K$2),(B174-$K$2)/($K$3-$K$2),"")</f>
        <v/>
      </c>
      <c r="D174" s="5">
        <f>IF(ISNUMBER(C174),IF(B174&lt;$K$3,LN(($K$3-$K$2)/($K$3-B174)),""),"")</f>
        <v/>
      </c>
      <c r="E174" s="5">
        <f>IF(AND(ISNUMBER(C174),ISNUMBER(D174),C174&gt;=0.2,C174&lt;=0.8),D174,"")</f>
        <v/>
      </c>
      <c r="F174" s="5">
        <f>IF(ISNUMBER(E174),A174,"")</f>
        <v/>
      </c>
      <c r="G174" s="5">
        <f>IF(AND(ISNUMBER(E174),ISNUMBER($K$4)),E174-($K$7+$K$4*A174),"")</f>
        <v/>
      </c>
    </row>
    <row r="175">
      <c r="A175" s="4" t="n"/>
      <c r="B175" s="4" t="n"/>
      <c r="C175" s="5">
        <f>IF(AND(ISNUMBER(A175),ISNUMBER(B175),ISNUMBER($K$2),ISNUMBER($K$3),$K$3&gt;$K$2),(B175-$K$2)/($K$3-$K$2),"")</f>
        <v/>
      </c>
      <c r="D175" s="5">
        <f>IF(ISNUMBER(C175),IF(B175&lt;$K$3,LN(($K$3-$K$2)/($K$3-B175)),""),"")</f>
        <v/>
      </c>
      <c r="E175" s="5">
        <f>IF(AND(ISNUMBER(C175),ISNUMBER(D175),C175&gt;=0.2,C175&lt;=0.8),D175,"")</f>
        <v/>
      </c>
      <c r="F175" s="5">
        <f>IF(ISNUMBER(E175),A175,"")</f>
        <v/>
      </c>
      <c r="G175" s="5">
        <f>IF(AND(ISNUMBER(E175),ISNUMBER($K$4)),E175-($K$7+$K$4*A175),"")</f>
        <v/>
      </c>
    </row>
    <row r="176">
      <c r="A176" s="4" t="n"/>
      <c r="B176" s="4" t="n"/>
      <c r="C176" s="5">
        <f>IF(AND(ISNUMBER(A176),ISNUMBER(B176),ISNUMBER($K$2),ISNUMBER($K$3),$K$3&gt;$K$2),(B176-$K$2)/($K$3-$K$2),"")</f>
        <v/>
      </c>
      <c r="D176" s="5">
        <f>IF(ISNUMBER(C176),IF(B176&lt;$K$3,LN(($K$3-$K$2)/($K$3-B176)),""),"")</f>
        <v/>
      </c>
      <c r="E176" s="5">
        <f>IF(AND(ISNUMBER(C176),ISNUMBER(D176),C176&gt;=0.2,C176&lt;=0.8),D176,"")</f>
        <v/>
      </c>
      <c r="F176" s="5">
        <f>IF(ISNUMBER(E176),A176,"")</f>
        <v/>
      </c>
      <c r="G176" s="5">
        <f>IF(AND(ISNUMBER(E176),ISNUMBER($K$4)),E176-($K$7+$K$4*A176),"")</f>
        <v/>
      </c>
    </row>
    <row r="177">
      <c r="A177" s="4" t="n"/>
      <c r="B177" s="4" t="n"/>
      <c r="C177" s="5">
        <f>IF(AND(ISNUMBER(A177),ISNUMBER(B177),ISNUMBER($K$2),ISNUMBER($K$3),$K$3&gt;$K$2),(B177-$K$2)/($K$3-$K$2),"")</f>
        <v/>
      </c>
      <c r="D177" s="5">
        <f>IF(ISNUMBER(C177),IF(B177&lt;$K$3,LN(($K$3-$K$2)/($K$3-B177)),""),"")</f>
        <v/>
      </c>
      <c r="E177" s="5">
        <f>IF(AND(ISNUMBER(C177),ISNUMBER(D177),C177&gt;=0.2,C177&lt;=0.8),D177,"")</f>
        <v/>
      </c>
      <c r="F177" s="5">
        <f>IF(ISNUMBER(E177),A177,"")</f>
        <v/>
      </c>
      <c r="G177" s="5">
        <f>IF(AND(ISNUMBER(E177),ISNUMBER($K$4)),E177-($K$7+$K$4*A177),"")</f>
        <v/>
      </c>
    </row>
    <row r="178">
      <c r="A178" s="4" t="n"/>
      <c r="B178" s="4" t="n"/>
      <c r="C178" s="5">
        <f>IF(AND(ISNUMBER(A178),ISNUMBER(B178),ISNUMBER($K$2),ISNUMBER($K$3),$K$3&gt;$K$2),(B178-$K$2)/($K$3-$K$2),"")</f>
        <v/>
      </c>
      <c r="D178" s="5">
        <f>IF(ISNUMBER(C178),IF(B178&lt;$K$3,LN(($K$3-$K$2)/($K$3-B178)),""),"")</f>
        <v/>
      </c>
      <c r="E178" s="5">
        <f>IF(AND(ISNUMBER(C178),ISNUMBER(D178),C178&gt;=0.2,C178&lt;=0.8),D178,"")</f>
        <v/>
      </c>
      <c r="F178" s="5">
        <f>IF(ISNUMBER(E178),A178,"")</f>
        <v/>
      </c>
      <c r="G178" s="5">
        <f>IF(AND(ISNUMBER(E178),ISNUMBER($K$4)),E178-($K$7+$K$4*A178),"")</f>
        <v/>
      </c>
    </row>
    <row r="179">
      <c r="A179" s="4" t="n"/>
      <c r="B179" s="4" t="n"/>
      <c r="C179" s="5">
        <f>IF(AND(ISNUMBER(A179),ISNUMBER(B179),ISNUMBER($K$2),ISNUMBER($K$3),$K$3&gt;$K$2),(B179-$K$2)/($K$3-$K$2),"")</f>
        <v/>
      </c>
      <c r="D179" s="5">
        <f>IF(ISNUMBER(C179),IF(B179&lt;$K$3,LN(($K$3-$K$2)/($K$3-B179)),""),"")</f>
        <v/>
      </c>
      <c r="E179" s="5">
        <f>IF(AND(ISNUMBER(C179),ISNUMBER(D179),C179&gt;=0.2,C179&lt;=0.8),D179,"")</f>
        <v/>
      </c>
      <c r="F179" s="5">
        <f>IF(ISNUMBER(E179),A179,"")</f>
        <v/>
      </c>
      <c r="G179" s="5">
        <f>IF(AND(ISNUMBER(E179),ISNUMBER($K$4)),E179-($K$7+$K$4*A179),"")</f>
        <v/>
      </c>
    </row>
    <row r="180">
      <c r="A180" s="4" t="n"/>
      <c r="B180" s="4" t="n"/>
      <c r="C180" s="5">
        <f>IF(AND(ISNUMBER(A180),ISNUMBER(B180),ISNUMBER($K$2),ISNUMBER($K$3),$K$3&gt;$K$2),(B180-$K$2)/($K$3-$K$2),"")</f>
        <v/>
      </c>
      <c r="D180" s="5">
        <f>IF(ISNUMBER(C180),IF(B180&lt;$K$3,LN(($K$3-$K$2)/($K$3-B180)),""),"")</f>
        <v/>
      </c>
      <c r="E180" s="5">
        <f>IF(AND(ISNUMBER(C180),ISNUMBER(D180),C180&gt;=0.2,C180&lt;=0.8),D180,"")</f>
        <v/>
      </c>
      <c r="F180" s="5">
        <f>IF(ISNUMBER(E180),A180,"")</f>
        <v/>
      </c>
      <c r="G180" s="5">
        <f>IF(AND(ISNUMBER(E180),ISNUMBER($K$4)),E180-($K$7+$K$4*A180),"")</f>
        <v/>
      </c>
    </row>
    <row r="181">
      <c r="A181" s="4" t="n"/>
      <c r="B181" s="4" t="n"/>
      <c r="C181" s="5">
        <f>IF(AND(ISNUMBER(A181),ISNUMBER(B181),ISNUMBER($K$2),ISNUMBER($K$3),$K$3&gt;$K$2),(B181-$K$2)/($K$3-$K$2),"")</f>
        <v/>
      </c>
      <c r="D181" s="5">
        <f>IF(ISNUMBER(C181),IF(B181&lt;$K$3,LN(($K$3-$K$2)/($K$3-B181)),""),"")</f>
        <v/>
      </c>
      <c r="E181" s="5">
        <f>IF(AND(ISNUMBER(C181),ISNUMBER(D181),C181&gt;=0.2,C181&lt;=0.8),D181,"")</f>
        <v/>
      </c>
      <c r="F181" s="5">
        <f>IF(ISNUMBER(E181),A181,"")</f>
        <v/>
      </c>
      <c r="G181" s="5">
        <f>IF(AND(ISNUMBER(E181),ISNUMBER($K$4)),E181-($K$7+$K$4*A181),"")</f>
        <v/>
      </c>
    </row>
    <row r="182">
      <c r="A182" s="4" t="n"/>
      <c r="B182" s="4" t="n"/>
      <c r="C182" s="5">
        <f>IF(AND(ISNUMBER(A182),ISNUMBER(B182),ISNUMBER($K$2),ISNUMBER($K$3),$K$3&gt;$K$2),(B182-$K$2)/($K$3-$K$2),"")</f>
        <v/>
      </c>
      <c r="D182" s="5">
        <f>IF(ISNUMBER(C182),IF(B182&lt;$K$3,LN(($K$3-$K$2)/($K$3-B182)),""),"")</f>
        <v/>
      </c>
      <c r="E182" s="5">
        <f>IF(AND(ISNUMBER(C182),ISNUMBER(D182),C182&gt;=0.2,C182&lt;=0.8),D182,"")</f>
        <v/>
      </c>
      <c r="F182" s="5">
        <f>IF(ISNUMBER(E182),A182,"")</f>
        <v/>
      </c>
      <c r="G182" s="5">
        <f>IF(AND(ISNUMBER(E182),ISNUMBER($K$4)),E182-($K$7+$K$4*A182),"")</f>
        <v/>
      </c>
    </row>
    <row r="183">
      <c r="A183" s="4" t="n"/>
      <c r="B183" s="4" t="n"/>
      <c r="C183" s="5">
        <f>IF(AND(ISNUMBER(A183),ISNUMBER(B183),ISNUMBER($K$2),ISNUMBER($K$3),$K$3&gt;$K$2),(B183-$K$2)/($K$3-$K$2),"")</f>
        <v/>
      </c>
      <c r="D183" s="5">
        <f>IF(ISNUMBER(C183),IF(B183&lt;$K$3,LN(($K$3-$K$2)/($K$3-B183)),""),"")</f>
        <v/>
      </c>
      <c r="E183" s="5">
        <f>IF(AND(ISNUMBER(C183),ISNUMBER(D183),C183&gt;=0.2,C183&lt;=0.8),D183,"")</f>
        <v/>
      </c>
      <c r="F183" s="5">
        <f>IF(ISNUMBER(E183),A183,"")</f>
        <v/>
      </c>
      <c r="G183" s="5">
        <f>IF(AND(ISNUMBER(E183),ISNUMBER($K$4)),E183-($K$7+$K$4*A183),"")</f>
        <v/>
      </c>
    </row>
    <row r="184">
      <c r="A184" s="4" t="n"/>
      <c r="B184" s="4" t="n"/>
      <c r="C184" s="5">
        <f>IF(AND(ISNUMBER(A184),ISNUMBER(B184),ISNUMBER($K$2),ISNUMBER($K$3),$K$3&gt;$K$2),(B184-$K$2)/($K$3-$K$2),"")</f>
        <v/>
      </c>
      <c r="D184" s="5">
        <f>IF(ISNUMBER(C184),IF(B184&lt;$K$3,LN(($K$3-$K$2)/($K$3-B184)),""),"")</f>
        <v/>
      </c>
      <c r="E184" s="5">
        <f>IF(AND(ISNUMBER(C184),ISNUMBER(D184),C184&gt;=0.2,C184&lt;=0.8),D184,"")</f>
        <v/>
      </c>
      <c r="F184" s="5">
        <f>IF(ISNUMBER(E184),A184,"")</f>
        <v/>
      </c>
      <c r="G184" s="5">
        <f>IF(AND(ISNUMBER(E184),ISNUMBER($K$4)),E184-($K$7+$K$4*A184),"")</f>
        <v/>
      </c>
    </row>
    <row r="185">
      <c r="A185" s="4" t="n"/>
      <c r="B185" s="4" t="n"/>
      <c r="C185" s="5">
        <f>IF(AND(ISNUMBER(A185),ISNUMBER(B185),ISNUMBER($K$2),ISNUMBER($K$3),$K$3&gt;$K$2),(B185-$K$2)/($K$3-$K$2),"")</f>
        <v/>
      </c>
      <c r="D185" s="5">
        <f>IF(ISNUMBER(C185),IF(B185&lt;$K$3,LN(($K$3-$K$2)/($K$3-B185)),""),"")</f>
        <v/>
      </c>
      <c r="E185" s="5">
        <f>IF(AND(ISNUMBER(C185),ISNUMBER(D185),C185&gt;=0.2,C185&lt;=0.8),D185,"")</f>
        <v/>
      </c>
      <c r="F185" s="5">
        <f>IF(ISNUMBER(E185),A185,"")</f>
        <v/>
      </c>
      <c r="G185" s="5">
        <f>IF(AND(ISNUMBER(E185),ISNUMBER($K$4)),E185-($K$7+$K$4*A185),"")</f>
        <v/>
      </c>
    </row>
    <row r="186">
      <c r="A186" s="4" t="n"/>
      <c r="B186" s="4" t="n"/>
      <c r="C186" s="5">
        <f>IF(AND(ISNUMBER(A186),ISNUMBER(B186),ISNUMBER($K$2),ISNUMBER($K$3),$K$3&gt;$K$2),(B186-$K$2)/($K$3-$K$2),"")</f>
        <v/>
      </c>
      <c r="D186" s="5">
        <f>IF(ISNUMBER(C186),IF(B186&lt;$K$3,LN(($K$3-$K$2)/($K$3-B186)),""),"")</f>
        <v/>
      </c>
      <c r="E186" s="5">
        <f>IF(AND(ISNUMBER(C186),ISNUMBER(D186),C186&gt;=0.2,C186&lt;=0.8),D186,"")</f>
        <v/>
      </c>
      <c r="F186" s="5">
        <f>IF(ISNUMBER(E186),A186,"")</f>
        <v/>
      </c>
      <c r="G186" s="5">
        <f>IF(AND(ISNUMBER(E186),ISNUMBER($K$4)),E186-($K$7+$K$4*A186),"")</f>
        <v/>
      </c>
    </row>
    <row r="187">
      <c r="A187" s="4" t="n"/>
      <c r="B187" s="4" t="n"/>
      <c r="C187" s="5">
        <f>IF(AND(ISNUMBER(A187),ISNUMBER(B187),ISNUMBER($K$2),ISNUMBER($K$3),$K$3&gt;$K$2),(B187-$K$2)/($K$3-$K$2),"")</f>
        <v/>
      </c>
      <c r="D187" s="5">
        <f>IF(ISNUMBER(C187),IF(B187&lt;$K$3,LN(($K$3-$K$2)/($K$3-B187)),""),"")</f>
        <v/>
      </c>
      <c r="E187" s="5">
        <f>IF(AND(ISNUMBER(C187),ISNUMBER(D187),C187&gt;=0.2,C187&lt;=0.8),D187,"")</f>
        <v/>
      </c>
      <c r="F187" s="5">
        <f>IF(ISNUMBER(E187),A187,"")</f>
        <v/>
      </c>
      <c r="G187" s="5">
        <f>IF(AND(ISNUMBER(E187),ISNUMBER($K$4)),E187-($K$7+$K$4*A187),"")</f>
        <v/>
      </c>
    </row>
    <row r="188">
      <c r="A188" s="4" t="n"/>
      <c r="B188" s="4" t="n"/>
      <c r="C188" s="5">
        <f>IF(AND(ISNUMBER(A188),ISNUMBER(B188),ISNUMBER($K$2),ISNUMBER($K$3),$K$3&gt;$K$2),(B188-$K$2)/($K$3-$K$2),"")</f>
        <v/>
      </c>
      <c r="D188" s="5">
        <f>IF(ISNUMBER(C188),IF(B188&lt;$K$3,LN(($K$3-$K$2)/($K$3-B188)),""),"")</f>
        <v/>
      </c>
      <c r="E188" s="5">
        <f>IF(AND(ISNUMBER(C188),ISNUMBER(D188),C188&gt;=0.2,C188&lt;=0.8),D188,"")</f>
        <v/>
      </c>
      <c r="F188" s="5">
        <f>IF(ISNUMBER(E188),A188,"")</f>
        <v/>
      </c>
      <c r="G188" s="5">
        <f>IF(AND(ISNUMBER(E188),ISNUMBER($K$4)),E188-($K$7+$K$4*A188),"")</f>
        <v/>
      </c>
    </row>
    <row r="189">
      <c r="A189" s="4" t="n"/>
      <c r="B189" s="4" t="n"/>
      <c r="C189" s="5">
        <f>IF(AND(ISNUMBER(A189),ISNUMBER(B189),ISNUMBER($K$2),ISNUMBER($K$3),$K$3&gt;$K$2),(B189-$K$2)/($K$3-$K$2),"")</f>
        <v/>
      </c>
      <c r="D189" s="5">
        <f>IF(ISNUMBER(C189),IF(B189&lt;$K$3,LN(($K$3-$K$2)/($K$3-B189)),""),"")</f>
        <v/>
      </c>
      <c r="E189" s="5">
        <f>IF(AND(ISNUMBER(C189),ISNUMBER(D189),C189&gt;=0.2,C189&lt;=0.8),D189,"")</f>
        <v/>
      </c>
      <c r="F189" s="5">
        <f>IF(ISNUMBER(E189),A189,"")</f>
        <v/>
      </c>
      <c r="G189" s="5">
        <f>IF(AND(ISNUMBER(E189),ISNUMBER($K$4)),E189-($K$7+$K$4*A189),"")</f>
        <v/>
      </c>
    </row>
    <row r="190">
      <c r="A190" s="4" t="n"/>
      <c r="B190" s="4" t="n"/>
      <c r="C190" s="5">
        <f>IF(AND(ISNUMBER(A190),ISNUMBER(B190),ISNUMBER($K$2),ISNUMBER($K$3),$K$3&gt;$K$2),(B190-$K$2)/($K$3-$K$2),"")</f>
        <v/>
      </c>
      <c r="D190" s="5">
        <f>IF(ISNUMBER(C190),IF(B190&lt;$K$3,LN(($K$3-$K$2)/($K$3-B190)),""),"")</f>
        <v/>
      </c>
      <c r="E190" s="5">
        <f>IF(AND(ISNUMBER(C190),ISNUMBER(D190),C190&gt;=0.2,C190&lt;=0.8),D190,"")</f>
        <v/>
      </c>
      <c r="F190" s="5">
        <f>IF(ISNUMBER(E190),A190,"")</f>
        <v/>
      </c>
      <c r="G190" s="5">
        <f>IF(AND(ISNUMBER(E190),ISNUMBER($K$4)),E190-($K$7+$K$4*A190),"")</f>
        <v/>
      </c>
    </row>
    <row r="191">
      <c r="A191" s="4" t="n"/>
      <c r="B191" s="4" t="n"/>
      <c r="C191" s="5">
        <f>IF(AND(ISNUMBER(A191),ISNUMBER(B191),ISNUMBER($K$2),ISNUMBER($K$3),$K$3&gt;$K$2),(B191-$K$2)/($K$3-$K$2),"")</f>
        <v/>
      </c>
      <c r="D191" s="5">
        <f>IF(ISNUMBER(C191),IF(B191&lt;$K$3,LN(($K$3-$K$2)/($K$3-B191)),""),"")</f>
        <v/>
      </c>
      <c r="E191" s="5">
        <f>IF(AND(ISNUMBER(C191),ISNUMBER(D191),C191&gt;=0.2,C191&lt;=0.8),D191,"")</f>
        <v/>
      </c>
      <c r="F191" s="5">
        <f>IF(ISNUMBER(E191),A191,"")</f>
        <v/>
      </c>
      <c r="G191" s="5">
        <f>IF(AND(ISNUMBER(E191),ISNUMBER($K$4)),E191-($K$7+$K$4*A191),"")</f>
        <v/>
      </c>
    </row>
    <row r="192">
      <c r="A192" s="4" t="n"/>
      <c r="B192" s="4" t="n"/>
      <c r="C192" s="5">
        <f>IF(AND(ISNUMBER(A192),ISNUMBER(B192),ISNUMBER($K$2),ISNUMBER($K$3),$K$3&gt;$K$2),(B192-$K$2)/($K$3-$K$2),"")</f>
        <v/>
      </c>
      <c r="D192" s="5">
        <f>IF(ISNUMBER(C192),IF(B192&lt;$K$3,LN(($K$3-$K$2)/($K$3-B192)),""),"")</f>
        <v/>
      </c>
      <c r="E192" s="5">
        <f>IF(AND(ISNUMBER(C192),ISNUMBER(D192),C192&gt;=0.2,C192&lt;=0.8),D192,"")</f>
        <v/>
      </c>
      <c r="F192" s="5">
        <f>IF(ISNUMBER(E192),A192,"")</f>
        <v/>
      </c>
      <c r="G192" s="5">
        <f>IF(AND(ISNUMBER(E192),ISNUMBER($K$4)),E192-($K$7+$K$4*A192),"")</f>
        <v/>
      </c>
    </row>
    <row r="193">
      <c r="A193" s="4" t="n"/>
      <c r="B193" s="4" t="n"/>
      <c r="C193" s="5">
        <f>IF(AND(ISNUMBER(A193),ISNUMBER(B193),ISNUMBER($K$2),ISNUMBER($K$3),$K$3&gt;$K$2),(B193-$K$2)/($K$3-$K$2),"")</f>
        <v/>
      </c>
      <c r="D193" s="5">
        <f>IF(ISNUMBER(C193),IF(B193&lt;$K$3,LN(($K$3-$K$2)/($K$3-B193)),""),"")</f>
        <v/>
      </c>
      <c r="E193" s="5">
        <f>IF(AND(ISNUMBER(C193),ISNUMBER(D193),C193&gt;=0.2,C193&lt;=0.8),D193,"")</f>
        <v/>
      </c>
      <c r="F193" s="5">
        <f>IF(ISNUMBER(E193),A193,"")</f>
        <v/>
      </c>
      <c r="G193" s="5">
        <f>IF(AND(ISNUMBER(E193),ISNUMBER($K$4)),E193-($K$7+$K$4*A193),"")</f>
        <v/>
      </c>
    </row>
    <row r="194">
      <c r="A194" s="4" t="n"/>
      <c r="B194" s="4" t="n"/>
      <c r="C194" s="5">
        <f>IF(AND(ISNUMBER(A194),ISNUMBER(B194),ISNUMBER($K$2),ISNUMBER($K$3),$K$3&gt;$K$2),(B194-$K$2)/($K$3-$K$2),"")</f>
        <v/>
      </c>
      <c r="D194" s="5">
        <f>IF(ISNUMBER(C194),IF(B194&lt;$K$3,LN(($K$3-$K$2)/($K$3-B194)),""),"")</f>
        <v/>
      </c>
      <c r="E194" s="5">
        <f>IF(AND(ISNUMBER(C194),ISNUMBER(D194),C194&gt;=0.2,C194&lt;=0.8),D194,"")</f>
        <v/>
      </c>
      <c r="F194" s="5">
        <f>IF(ISNUMBER(E194),A194,"")</f>
        <v/>
      </c>
      <c r="G194" s="5">
        <f>IF(AND(ISNUMBER(E194),ISNUMBER($K$4)),E194-($K$7+$K$4*A194),"")</f>
        <v/>
      </c>
    </row>
    <row r="195">
      <c r="A195" s="4" t="n"/>
      <c r="B195" s="4" t="n"/>
      <c r="C195" s="5">
        <f>IF(AND(ISNUMBER(A195),ISNUMBER(B195),ISNUMBER($K$2),ISNUMBER($K$3),$K$3&gt;$K$2),(B195-$K$2)/($K$3-$K$2),"")</f>
        <v/>
      </c>
      <c r="D195" s="5">
        <f>IF(ISNUMBER(C195),IF(B195&lt;$K$3,LN(($K$3-$K$2)/($K$3-B195)),""),"")</f>
        <v/>
      </c>
      <c r="E195" s="5">
        <f>IF(AND(ISNUMBER(C195),ISNUMBER(D195),C195&gt;=0.2,C195&lt;=0.8),D195,"")</f>
        <v/>
      </c>
      <c r="F195" s="5">
        <f>IF(ISNUMBER(E195),A195,"")</f>
        <v/>
      </c>
      <c r="G195" s="5">
        <f>IF(AND(ISNUMBER(E195),ISNUMBER($K$4)),E195-($K$7+$K$4*A195),"")</f>
        <v/>
      </c>
    </row>
    <row r="196">
      <c r="A196" s="4" t="n"/>
      <c r="B196" s="4" t="n"/>
      <c r="C196" s="5">
        <f>IF(AND(ISNUMBER(A196),ISNUMBER(B196),ISNUMBER($K$2),ISNUMBER($K$3),$K$3&gt;$K$2),(B196-$K$2)/($K$3-$K$2),"")</f>
        <v/>
      </c>
      <c r="D196" s="5">
        <f>IF(ISNUMBER(C196),IF(B196&lt;$K$3,LN(($K$3-$K$2)/($K$3-B196)),""),"")</f>
        <v/>
      </c>
      <c r="E196" s="5">
        <f>IF(AND(ISNUMBER(C196),ISNUMBER(D196),C196&gt;=0.2,C196&lt;=0.8),D196,"")</f>
        <v/>
      </c>
      <c r="F196" s="5">
        <f>IF(ISNUMBER(E196),A196,"")</f>
        <v/>
      </c>
      <c r="G196" s="5">
        <f>IF(AND(ISNUMBER(E196),ISNUMBER($K$4)),E196-($K$7+$K$4*A196),"")</f>
        <v/>
      </c>
    </row>
    <row r="197">
      <c r="A197" s="4" t="n"/>
      <c r="B197" s="4" t="n"/>
      <c r="C197" s="5">
        <f>IF(AND(ISNUMBER(A197),ISNUMBER(B197),ISNUMBER($K$2),ISNUMBER($K$3),$K$3&gt;$K$2),(B197-$K$2)/($K$3-$K$2),"")</f>
        <v/>
      </c>
      <c r="D197" s="5">
        <f>IF(ISNUMBER(C197),IF(B197&lt;$K$3,LN(($K$3-$K$2)/($K$3-B197)),""),"")</f>
        <v/>
      </c>
      <c r="E197" s="5">
        <f>IF(AND(ISNUMBER(C197),ISNUMBER(D197),C197&gt;=0.2,C197&lt;=0.8),D197,"")</f>
        <v/>
      </c>
      <c r="F197" s="5">
        <f>IF(ISNUMBER(E197),A197,"")</f>
        <v/>
      </c>
      <c r="G197" s="5">
        <f>IF(AND(ISNUMBER(E197),ISNUMBER($K$4)),E197-($K$7+$K$4*A197),"")</f>
        <v/>
      </c>
    </row>
    <row r="198">
      <c r="A198" s="4" t="n"/>
      <c r="B198" s="4" t="n"/>
      <c r="C198" s="5">
        <f>IF(AND(ISNUMBER(A198),ISNUMBER(B198),ISNUMBER($K$2),ISNUMBER($K$3),$K$3&gt;$K$2),(B198-$K$2)/($K$3-$K$2),"")</f>
        <v/>
      </c>
      <c r="D198" s="5">
        <f>IF(ISNUMBER(C198),IF(B198&lt;$K$3,LN(($K$3-$K$2)/($K$3-B198)),""),"")</f>
        <v/>
      </c>
      <c r="E198" s="5">
        <f>IF(AND(ISNUMBER(C198),ISNUMBER(D198),C198&gt;=0.2,C198&lt;=0.8),D198,"")</f>
        <v/>
      </c>
      <c r="F198" s="5">
        <f>IF(ISNUMBER(E198),A198,"")</f>
        <v/>
      </c>
      <c r="G198" s="5">
        <f>IF(AND(ISNUMBER(E198),ISNUMBER($K$4)),E198-($K$7+$K$4*A198),"")</f>
        <v/>
      </c>
    </row>
    <row r="199">
      <c r="A199" s="4" t="n"/>
      <c r="B199" s="4" t="n"/>
      <c r="C199" s="5">
        <f>IF(AND(ISNUMBER(A199),ISNUMBER(B199),ISNUMBER($K$2),ISNUMBER($K$3),$K$3&gt;$K$2),(B199-$K$2)/($K$3-$K$2),"")</f>
        <v/>
      </c>
      <c r="D199" s="5">
        <f>IF(ISNUMBER(C199),IF(B199&lt;$K$3,LN(($K$3-$K$2)/($K$3-B199)),""),"")</f>
        <v/>
      </c>
      <c r="E199" s="5">
        <f>IF(AND(ISNUMBER(C199),ISNUMBER(D199),C199&gt;=0.2,C199&lt;=0.8),D199,"")</f>
        <v/>
      </c>
      <c r="F199" s="5">
        <f>IF(ISNUMBER(E199),A199,"")</f>
        <v/>
      </c>
      <c r="G199" s="5">
        <f>IF(AND(ISNUMBER(E199),ISNUMBER($K$4)),E199-($K$7+$K$4*A199),"")</f>
        <v/>
      </c>
    </row>
    <row r="200">
      <c r="A200" s="4" t="n"/>
      <c r="B200" s="4" t="n"/>
      <c r="C200" s="5">
        <f>IF(AND(ISNUMBER(A200),ISNUMBER(B200),ISNUMBER($K$2),ISNUMBER($K$3),$K$3&gt;$K$2),(B200-$K$2)/($K$3-$K$2),"")</f>
        <v/>
      </c>
      <c r="D200" s="5">
        <f>IF(ISNUMBER(C200),IF(B200&lt;$K$3,LN(($K$3-$K$2)/($K$3-B200)),""),"")</f>
        <v/>
      </c>
      <c r="E200" s="5">
        <f>IF(AND(ISNUMBER(C200),ISNUMBER(D200),C200&gt;=0.2,C200&lt;=0.8),D200,"")</f>
        <v/>
      </c>
      <c r="F200" s="5">
        <f>IF(ISNUMBER(E200),A200,"")</f>
        <v/>
      </c>
      <c r="G200" s="5">
        <f>IF(AND(ISNUMBER(E200),ISNUMBER($K$4)),E200-($K$7+$K$4*A200),"")</f>
        <v/>
      </c>
    </row>
    <row r="201">
      <c r="A201" s="4" t="n"/>
      <c r="B201" s="4" t="n"/>
      <c r="C201" s="5">
        <f>IF(AND(ISNUMBER(A201),ISNUMBER(B201),ISNUMBER($K$2),ISNUMBER($K$3),$K$3&gt;$K$2),(B201-$K$2)/($K$3-$K$2),"")</f>
        <v/>
      </c>
      <c r="D201" s="5">
        <f>IF(ISNUMBER(C201),IF(B201&lt;$K$3,LN(($K$3-$K$2)/($K$3-B201)),""),"")</f>
        <v/>
      </c>
      <c r="E201" s="5">
        <f>IF(AND(ISNUMBER(C201),ISNUMBER(D201),C201&gt;=0.2,C201&lt;=0.8),D201,"")</f>
        <v/>
      </c>
      <c r="F201" s="5">
        <f>IF(ISNUMBER(E201),A201,"")</f>
        <v/>
      </c>
      <c r="G201" s="5">
        <f>IF(AND(ISNUMBER(E201),ISNUMBER($K$4)),E201-($K$7+$K$4*A201),"")</f>
        <v/>
      </c>
    </row>
    <row r="202">
      <c r="A202" s="4" t="n"/>
      <c r="B202" s="4" t="n"/>
      <c r="C202" s="5">
        <f>IF(AND(ISNUMBER(A202),ISNUMBER(B202),ISNUMBER($K$2),ISNUMBER($K$3),$K$3&gt;$K$2),(B202-$K$2)/($K$3-$K$2),"")</f>
        <v/>
      </c>
      <c r="D202" s="5">
        <f>IF(ISNUMBER(C202),IF(B202&lt;$K$3,LN(($K$3-$K$2)/($K$3-B202)),""),"")</f>
        <v/>
      </c>
      <c r="E202" s="5">
        <f>IF(AND(ISNUMBER(C202),ISNUMBER(D202),C202&gt;=0.2,C202&lt;=0.8),D202,"")</f>
        <v/>
      </c>
      <c r="F202" s="5">
        <f>IF(ISNUMBER(E202),A202,"")</f>
        <v/>
      </c>
      <c r="G202" s="5">
        <f>IF(AND(ISNUMBER(E202),ISNUMBER($K$4)),E202-($K$7+$K$4*A202),"")</f>
        <v/>
      </c>
    </row>
    <row r="203">
      <c r="A203" s="4" t="n"/>
      <c r="B203" s="4" t="n"/>
      <c r="C203" s="5">
        <f>IF(AND(ISNUMBER(A203),ISNUMBER(B203),ISNUMBER($K$2),ISNUMBER($K$3),$K$3&gt;$K$2),(B203-$K$2)/($K$3-$K$2),"")</f>
        <v/>
      </c>
      <c r="D203" s="5">
        <f>IF(ISNUMBER(C203),IF(B203&lt;$K$3,LN(($K$3-$K$2)/($K$3-B203)),""),"")</f>
        <v/>
      </c>
      <c r="E203" s="5">
        <f>IF(AND(ISNUMBER(C203),ISNUMBER(D203),C203&gt;=0.2,C203&lt;=0.8),D203,"")</f>
        <v/>
      </c>
      <c r="F203" s="5">
        <f>IF(ISNUMBER(E203),A203,"")</f>
        <v/>
      </c>
      <c r="G203" s="5">
        <f>IF(AND(ISNUMBER(E203),ISNUMBER($K$4)),E203-($K$7+$K$4*A203),"")</f>
        <v/>
      </c>
    </row>
    <row r="204">
      <c r="A204" s="4" t="n"/>
      <c r="B204" s="4" t="n"/>
      <c r="C204" s="5">
        <f>IF(AND(ISNUMBER(A204),ISNUMBER(B204),ISNUMBER($K$2),ISNUMBER($K$3),$K$3&gt;$K$2),(B204-$K$2)/($K$3-$K$2),"")</f>
        <v/>
      </c>
      <c r="D204" s="5">
        <f>IF(ISNUMBER(C204),IF(B204&lt;$K$3,LN(($K$3-$K$2)/($K$3-B204)),""),"")</f>
        <v/>
      </c>
      <c r="E204" s="5">
        <f>IF(AND(ISNUMBER(C204),ISNUMBER(D204),C204&gt;=0.2,C204&lt;=0.8),D204,"")</f>
        <v/>
      </c>
      <c r="F204" s="5">
        <f>IF(ISNUMBER(E204),A204,"")</f>
        <v/>
      </c>
      <c r="G204" s="5">
        <f>IF(AND(ISNUMBER(E204),ISNUMBER($K$4)),E204-($K$7+$K$4*A204),"")</f>
        <v/>
      </c>
    </row>
    <row r="205">
      <c r="A205" s="4" t="n"/>
      <c r="B205" s="4" t="n"/>
      <c r="C205" s="5">
        <f>IF(AND(ISNUMBER(A205),ISNUMBER(B205),ISNUMBER($K$2),ISNUMBER($K$3),$K$3&gt;$K$2),(B205-$K$2)/($K$3-$K$2),"")</f>
        <v/>
      </c>
      <c r="D205" s="5">
        <f>IF(ISNUMBER(C205),IF(B205&lt;$K$3,LN(($K$3-$K$2)/($K$3-B205)),""),"")</f>
        <v/>
      </c>
      <c r="E205" s="5">
        <f>IF(AND(ISNUMBER(C205),ISNUMBER(D205),C205&gt;=0.2,C205&lt;=0.8),D205,"")</f>
        <v/>
      </c>
      <c r="F205" s="5">
        <f>IF(ISNUMBER(E205),A205,"")</f>
        <v/>
      </c>
      <c r="G205" s="5">
        <f>IF(AND(ISNUMBER(E205),ISNUMBER($K$4)),E205-($K$7+$K$4*A205),"")</f>
        <v/>
      </c>
    </row>
    <row r="206">
      <c r="A206" s="4" t="n"/>
      <c r="B206" s="4" t="n"/>
      <c r="C206" s="5">
        <f>IF(AND(ISNUMBER(A206),ISNUMBER(B206),ISNUMBER($K$2),ISNUMBER($K$3),$K$3&gt;$K$2),(B206-$K$2)/($K$3-$K$2),"")</f>
        <v/>
      </c>
      <c r="D206" s="5">
        <f>IF(ISNUMBER(C206),IF(B206&lt;$K$3,LN(($K$3-$K$2)/($K$3-B206)),""),"")</f>
        <v/>
      </c>
      <c r="E206" s="5">
        <f>IF(AND(ISNUMBER(C206),ISNUMBER(D206),C206&gt;=0.2,C206&lt;=0.8),D206,"")</f>
        <v/>
      </c>
      <c r="F206" s="5">
        <f>IF(ISNUMBER(E206),A206,"")</f>
        <v/>
      </c>
      <c r="G206" s="5">
        <f>IF(AND(ISNUMBER(E206),ISNUMBER($K$4)),E206-($K$7+$K$4*A206),"")</f>
        <v/>
      </c>
    </row>
    <row r="207">
      <c r="A207" s="4" t="n"/>
      <c r="B207" s="4" t="n"/>
      <c r="C207" s="5">
        <f>IF(AND(ISNUMBER(A207),ISNUMBER(B207),ISNUMBER($K$2),ISNUMBER($K$3),$K$3&gt;$K$2),(B207-$K$2)/($K$3-$K$2),"")</f>
        <v/>
      </c>
      <c r="D207" s="5">
        <f>IF(ISNUMBER(C207),IF(B207&lt;$K$3,LN(($K$3-$K$2)/($K$3-B207)),""),"")</f>
        <v/>
      </c>
      <c r="E207" s="5">
        <f>IF(AND(ISNUMBER(C207),ISNUMBER(D207),C207&gt;=0.2,C207&lt;=0.8),D207,"")</f>
        <v/>
      </c>
      <c r="F207" s="5">
        <f>IF(ISNUMBER(E207),A207,"")</f>
        <v/>
      </c>
      <c r="G207" s="5">
        <f>IF(AND(ISNUMBER(E207),ISNUMBER($K$4)),E207-($K$7+$K$4*A207),"")</f>
        <v/>
      </c>
    </row>
    <row r="208">
      <c r="A208" s="4" t="n"/>
      <c r="B208" s="4" t="n"/>
      <c r="C208" s="5">
        <f>IF(AND(ISNUMBER(A208),ISNUMBER(B208),ISNUMBER($K$2),ISNUMBER($K$3),$K$3&gt;$K$2),(B208-$K$2)/($K$3-$K$2),"")</f>
        <v/>
      </c>
      <c r="D208" s="5">
        <f>IF(ISNUMBER(C208),IF(B208&lt;$K$3,LN(($K$3-$K$2)/($K$3-B208)),""),"")</f>
        <v/>
      </c>
      <c r="E208" s="5">
        <f>IF(AND(ISNUMBER(C208),ISNUMBER(D208),C208&gt;=0.2,C208&lt;=0.8),D208,"")</f>
        <v/>
      </c>
      <c r="F208" s="5">
        <f>IF(ISNUMBER(E208),A208,"")</f>
        <v/>
      </c>
      <c r="G208" s="5">
        <f>IF(AND(ISNUMBER(E208),ISNUMBER($K$4)),E208-($K$7+$K$4*A208),"")</f>
        <v/>
      </c>
    </row>
    <row r="209">
      <c r="A209" s="4" t="n"/>
      <c r="B209" s="4" t="n"/>
      <c r="C209" s="5">
        <f>IF(AND(ISNUMBER(A209),ISNUMBER(B209),ISNUMBER($K$2),ISNUMBER($K$3),$K$3&gt;$K$2),(B209-$K$2)/($K$3-$K$2),"")</f>
        <v/>
      </c>
      <c r="D209" s="5">
        <f>IF(ISNUMBER(C209),IF(B209&lt;$K$3,LN(($K$3-$K$2)/($K$3-B209)),""),"")</f>
        <v/>
      </c>
      <c r="E209" s="5">
        <f>IF(AND(ISNUMBER(C209),ISNUMBER(D209),C209&gt;=0.2,C209&lt;=0.8),D209,"")</f>
        <v/>
      </c>
      <c r="F209" s="5">
        <f>IF(ISNUMBER(E209),A209,"")</f>
        <v/>
      </c>
      <c r="G209" s="5">
        <f>IF(AND(ISNUMBER(E209),ISNUMBER($K$4)),E209-($K$7+$K$4*A209),"")</f>
        <v/>
      </c>
    </row>
    <row r="210">
      <c r="A210" s="4" t="n"/>
      <c r="B210" s="4" t="n"/>
      <c r="C210" s="5">
        <f>IF(AND(ISNUMBER(A210),ISNUMBER(B210),ISNUMBER($K$2),ISNUMBER($K$3),$K$3&gt;$K$2),(B210-$K$2)/($K$3-$K$2),"")</f>
        <v/>
      </c>
      <c r="D210" s="5">
        <f>IF(ISNUMBER(C210),IF(B210&lt;$K$3,LN(($K$3-$K$2)/($K$3-B210)),""),"")</f>
        <v/>
      </c>
      <c r="E210" s="5">
        <f>IF(AND(ISNUMBER(C210),ISNUMBER(D210),C210&gt;=0.2,C210&lt;=0.8),D210,"")</f>
        <v/>
      </c>
      <c r="F210" s="5">
        <f>IF(ISNUMBER(E210),A210,"")</f>
        <v/>
      </c>
      <c r="G210" s="5">
        <f>IF(AND(ISNUMBER(E210),ISNUMBER($K$4)),E210-($K$7+$K$4*A210),"")</f>
        <v/>
      </c>
    </row>
    <row r="211">
      <c r="A211" s="4" t="n"/>
      <c r="B211" s="4" t="n"/>
      <c r="C211" s="5">
        <f>IF(AND(ISNUMBER(A211),ISNUMBER(B211),ISNUMBER($K$2),ISNUMBER($K$3),$K$3&gt;$K$2),(B211-$K$2)/($K$3-$K$2),"")</f>
        <v/>
      </c>
      <c r="D211" s="5">
        <f>IF(ISNUMBER(C211),IF(B211&lt;$K$3,LN(($K$3-$K$2)/($K$3-B211)),""),"")</f>
        <v/>
      </c>
      <c r="E211" s="5">
        <f>IF(AND(ISNUMBER(C211),ISNUMBER(D211),C211&gt;=0.2,C211&lt;=0.8),D211,"")</f>
        <v/>
      </c>
      <c r="F211" s="5">
        <f>IF(ISNUMBER(E211),A211,"")</f>
        <v/>
      </c>
      <c r="G211" s="5">
        <f>IF(AND(ISNUMBER(E211),ISNUMBER($K$4)),E211-($K$7+$K$4*A211),"")</f>
        <v/>
      </c>
    </row>
    <row r="212">
      <c r="A212" s="4" t="n"/>
      <c r="B212" s="4" t="n"/>
      <c r="C212" s="5">
        <f>IF(AND(ISNUMBER(A212),ISNUMBER(B212),ISNUMBER($K$2),ISNUMBER($K$3),$K$3&gt;$K$2),(B212-$K$2)/($K$3-$K$2),"")</f>
        <v/>
      </c>
      <c r="D212" s="5">
        <f>IF(ISNUMBER(C212),IF(B212&lt;$K$3,LN(($K$3-$K$2)/($K$3-B212)),""),"")</f>
        <v/>
      </c>
      <c r="E212" s="5">
        <f>IF(AND(ISNUMBER(C212),ISNUMBER(D212),C212&gt;=0.2,C212&lt;=0.8),D212,"")</f>
        <v/>
      </c>
      <c r="F212" s="5">
        <f>IF(ISNUMBER(E212),A212,"")</f>
        <v/>
      </c>
      <c r="G212" s="5">
        <f>IF(AND(ISNUMBER(E212),ISNUMBER($K$4)),E212-($K$7+$K$4*A212),"")</f>
        <v/>
      </c>
    </row>
    <row r="213">
      <c r="A213" s="4" t="n"/>
      <c r="B213" s="4" t="n"/>
      <c r="C213" s="5">
        <f>IF(AND(ISNUMBER(A213),ISNUMBER(B213),ISNUMBER($K$2),ISNUMBER($K$3),$K$3&gt;$K$2),(B213-$K$2)/($K$3-$K$2),"")</f>
        <v/>
      </c>
      <c r="D213" s="5">
        <f>IF(ISNUMBER(C213),IF(B213&lt;$K$3,LN(($K$3-$K$2)/($K$3-B213)),""),"")</f>
        <v/>
      </c>
      <c r="E213" s="5">
        <f>IF(AND(ISNUMBER(C213),ISNUMBER(D213),C213&gt;=0.2,C213&lt;=0.8),D213,"")</f>
        <v/>
      </c>
      <c r="F213" s="5">
        <f>IF(ISNUMBER(E213),A213,"")</f>
        <v/>
      </c>
      <c r="G213" s="5">
        <f>IF(AND(ISNUMBER(E213),ISNUMBER($K$4)),E213-($K$7+$K$4*A213),"")</f>
        <v/>
      </c>
    </row>
    <row r="214">
      <c r="A214" s="4" t="n"/>
      <c r="B214" s="4" t="n"/>
      <c r="C214" s="5">
        <f>IF(AND(ISNUMBER(A214),ISNUMBER(B214),ISNUMBER($K$2),ISNUMBER($K$3),$K$3&gt;$K$2),(B214-$K$2)/($K$3-$K$2),"")</f>
        <v/>
      </c>
      <c r="D214" s="5">
        <f>IF(ISNUMBER(C214),IF(B214&lt;$K$3,LN(($K$3-$K$2)/($K$3-B214)),""),"")</f>
        <v/>
      </c>
      <c r="E214" s="5">
        <f>IF(AND(ISNUMBER(C214),ISNUMBER(D214),C214&gt;=0.2,C214&lt;=0.8),D214,"")</f>
        <v/>
      </c>
      <c r="F214" s="5">
        <f>IF(ISNUMBER(E214),A214,"")</f>
        <v/>
      </c>
      <c r="G214" s="5">
        <f>IF(AND(ISNUMBER(E214),ISNUMBER($K$4)),E214-($K$7+$K$4*A214),"")</f>
        <v/>
      </c>
    </row>
    <row r="215">
      <c r="A215" s="4" t="n"/>
      <c r="B215" s="4" t="n"/>
      <c r="C215" s="5">
        <f>IF(AND(ISNUMBER(A215),ISNUMBER(B215),ISNUMBER($K$2),ISNUMBER($K$3),$K$3&gt;$K$2),(B215-$K$2)/($K$3-$K$2),"")</f>
        <v/>
      </c>
      <c r="D215" s="5">
        <f>IF(ISNUMBER(C215),IF(B215&lt;$K$3,LN(($K$3-$K$2)/($K$3-B215)),""),"")</f>
        <v/>
      </c>
      <c r="E215" s="5">
        <f>IF(AND(ISNUMBER(C215),ISNUMBER(D215),C215&gt;=0.2,C215&lt;=0.8),D215,"")</f>
        <v/>
      </c>
      <c r="F215" s="5">
        <f>IF(ISNUMBER(E215),A215,"")</f>
        <v/>
      </c>
      <c r="G215" s="5">
        <f>IF(AND(ISNUMBER(E215),ISNUMBER($K$4)),E215-($K$7+$K$4*A215),"")</f>
        <v/>
      </c>
    </row>
    <row r="216">
      <c r="A216" s="4" t="n"/>
      <c r="B216" s="4" t="n"/>
      <c r="C216" s="5">
        <f>IF(AND(ISNUMBER(A216),ISNUMBER(B216),ISNUMBER($K$2),ISNUMBER($K$3),$K$3&gt;$K$2),(B216-$K$2)/($K$3-$K$2),"")</f>
        <v/>
      </c>
      <c r="D216" s="5">
        <f>IF(ISNUMBER(C216),IF(B216&lt;$K$3,LN(($K$3-$K$2)/($K$3-B216)),""),"")</f>
        <v/>
      </c>
      <c r="E216" s="5">
        <f>IF(AND(ISNUMBER(C216),ISNUMBER(D216),C216&gt;=0.2,C216&lt;=0.8),D216,"")</f>
        <v/>
      </c>
      <c r="F216" s="5">
        <f>IF(ISNUMBER(E216),A216,"")</f>
        <v/>
      </c>
      <c r="G216" s="5">
        <f>IF(AND(ISNUMBER(E216),ISNUMBER($K$4)),E216-($K$7+$K$4*A216),"")</f>
        <v/>
      </c>
    </row>
    <row r="217">
      <c r="A217" s="4" t="n"/>
      <c r="B217" s="4" t="n"/>
      <c r="C217" s="5">
        <f>IF(AND(ISNUMBER(A217),ISNUMBER(B217),ISNUMBER($K$2),ISNUMBER($K$3),$K$3&gt;$K$2),(B217-$K$2)/($K$3-$K$2),"")</f>
        <v/>
      </c>
      <c r="D217" s="5">
        <f>IF(ISNUMBER(C217),IF(B217&lt;$K$3,LN(($K$3-$K$2)/($K$3-B217)),""),"")</f>
        <v/>
      </c>
      <c r="E217" s="5">
        <f>IF(AND(ISNUMBER(C217),ISNUMBER(D217),C217&gt;=0.2,C217&lt;=0.8),D217,"")</f>
        <v/>
      </c>
      <c r="F217" s="5">
        <f>IF(ISNUMBER(E217),A217,"")</f>
        <v/>
      </c>
      <c r="G217" s="5">
        <f>IF(AND(ISNUMBER(E217),ISNUMBER($K$4)),E217-($K$7+$K$4*A217),"")</f>
        <v/>
      </c>
    </row>
    <row r="218">
      <c r="A218" s="4" t="n"/>
      <c r="B218" s="4" t="n"/>
      <c r="C218" s="5">
        <f>IF(AND(ISNUMBER(A218),ISNUMBER(B218),ISNUMBER($K$2),ISNUMBER($K$3),$K$3&gt;$K$2),(B218-$K$2)/($K$3-$K$2),"")</f>
        <v/>
      </c>
      <c r="D218" s="5">
        <f>IF(ISNUMBER(C218),IF(B218&lt;$K$3,LN(($K$3-$K$2)/($K$3-B218)),""),"")</f>
        <v/>
      </c>
      <c r="E218" s="5">
        <f>IF(AND(ISNUMBER(C218),ISNUMBER(D218),C218&gt;=0.2,C218&lt;=0.8),D218,"")</f>
        <v/>
      </c>
      <c r="F218" s="5">
        <f>IF(ISNUMBER(E218),A218,"")</f>
        <v/>
      </c>
      <c r="G218" s="5">
        <f>IF(AND(ISNUMBER(E218),ISNUMBER($K$4)),E218-($K$7+$K$4*A218),"")</f>
        <v/>
      </c>
    </row>
    <row r="219">
      <c r="A219" s="4" t="n"/>
      <c r="B219" s="4" t="n"/>
      <c r="C219" s="5">
        <f>IF(AND(ISNUMBER(A219),ISNUMBER(B219),ISNUMBER($K$2),ISNUMBER($K$3),$K$3&gt;$K$2),(B219-$K$2)/($K$3-$K$2),"")</f>
        <v/>
      </c>
      <c r="D219" s="5">
        <f>IF(ISNUMBER(C219),IF(B219&lt;$K$3,LN(($K$3-$K$2)/($K$3-B219)),""),"")</f>
        <v/>
      </c>
      <c r="E219" s="5">
        <f>IF(AND(ISNUMBER(C219),ISNUMBER(D219),C219&gt;=0.2,C219&lt;=0.8),D219,"")</f>
        <v/>
      </c>
      <c r="F219" s="5">
        <f>IF(ISNUMBER(E219),A219,"")</f>
        <v/>
      </c>
      <c r="G219" s="5">
        <f>IF(AND(ISNUMBER(E219),ISNUMBER($K$4)),E219-($K$7+$K$4*A219),"")</f>
        <v/>
      </c>
    </row>
    <row r="220">
      <c r="A220" s="4" t="n"/>
      <c r="B220" s="4" t="n"/>
      <c r="C220" s="5">
        <f>IF(AND(ISNUMBER(A220),ISNUMBER(B220),ISNUMBER($K$2),ISNUMBER($K$3),$K$3&gt;$K$2),(B220-$K$2)/($K$3-$K$2),"")</f>
        <v/>
      </c>
      <c r="D220" s="5">
        <f>IF(ISNUMBER(C220),IF(B220&lt;$K$3,LN(($K$3-$K$2)/($K$3-B220)),""),"")</f>
        <v/>
      </c>
      <c r="E220" s="5">
        <f>IF(AND(ISNUMBER(C220),ISNUMBER(D220),C220&gt;=0.2,C220&lt;=0.8),D220,"")</f>
        <v/>
      </c>
      <c r="F220" s="5">
        <f>IF(ISNUMBER(E220),A220,"")</f>
        <v/>
      </c>
      <c r="G220" s="5">
        <f>IF(AND(ISNUMBER(E220),ISNUMBER($K$4)),E220-($K$7+$K$4*A220),"")</f>
        <v/>
      </c>
    </row>
    <row r="221">
      <c r="A221" s="4" t="n"/>
      <c r="B221" s="4" t="n"/>
      <c r="C221" s="5">
        <f>IF(AND(ISNUMBER(A221),ISNUMBER(B221),ISNUMBER($K$2),ISNUMBER($K$3),$K$3&gt;$K$2),(B221-$K$2)/($K$3-$K$2),"")</f>
        <v/>
      </c>
      <c r="D221" s="5">
        <f>IF(ISNUMBER(C221),IF(B221&lt;$K$3,LN(($K$3-$K$2)/($K$3-B221)),""),"")</f>
        <v/>
      </c>
      <c r="E221" s="5">
        <f>IF(AND(ISNUMBER(C221),ISNUMBER(D221),C221&gt;=0.2,C221&lt;=0.8),D221,"")</f>
        <v/>
      </c>
      <c r="F221" s="5">
        <f>IF(ISNUMBER(E221),A221,"")</f>
        <v/>
      </c>
      <c r="G221" s="5">
        <f>IF(AND(ISNUMBER(E221),ISNUMBER($K$4)),E221-($K$7+$K$4*A221),"")</f>
        <v/>
      </c>
    </row>
    <row r="222">
      <c r="A222" s="4" t="n"/>
      <c r="B222" s="4" t="n"/>
      <c r="C222" s="5">
        <f>IF(AND(ISNUMBER(A222),ISNUMBER(B222),ISNUMBER($K$2),ISNUMBER($K$3),$K$3&gt;$K$2),(B222-$K$2)/($K$3-$K$2),"")</f>
        <v/>
      </c>
      <c r="D222" s="5">
        <f>IF(ISNUMBER(C222),IF(B222&lt;$K$3,LN(($K$3-$K$2)/($K$3-B222)),""),"")</f>
        <v/>
      </c>
      <c r="E222" s="5">
        <f>IF(AND(ISNUMBER(C222),ISNUMBER(D222),C222&gt;=0.2,C222&lt;=0.8),D222,"")</f>
        <v/>
      </c>
      <c r="F222" s="5">
        <f>IF(ISNUMBER(E222),A222,"")</f>
        <v/>
      </c>
      <c r="G222" s="5">
        <f>IF(AND(ISNUMBER(E222),ISNUMBER($K$4)),E222-($K$7+$K$4*A222),"")</f>
        <v/>
      </c>
    </row>
    <row r="223">
      <c r="A223" s="4" t="n"/>
      <c r="B223" s="4" t="n"/>
      <c r="C223" s="5">
        <f>IF(AND(ISNUMBER(A223),ISNUMBER(B223),ISNUMBER($K$2),ISNUMBER($K$3),$K$3&gt;$K$2),(B223-$K$2)/($K$3-$K$2),"")</f>
        <v/>
      </c>
      <c r="D223" s="5">
        <f>IF(ISNUMBER(C223),IF(B223&lt;$K$3,LN(($K$3-$K$2)/($K$3-B223)),""),"")</f>
        <v/>
      </c>
      <c r="E223" s="5">
        <f>IF(AND(ISNUMBER(C223),ISNUMBER(D223),C223&gt;=0.2,C223&lt;=0.8),D223,"")</f>
        <v/>
      </c>
      <c r="F223" s="5">
        <f>IF(ISNUMBER(E223),A223,"")</f>
        <v/>
      </c>
      <c r="G223" s="5">
        <f>IF(AND(ISNUMBER(E223),ISNUMBER($K$4)),E223-($K$7+$K$4*A223),"")</f>
        <v/>
      </c>
    </row>
    <row r="224">
      <c r="A224" s="4" t="n"/>
      <c r="B224" s="4" t="n"/>
      <c r="C224" s="5">
        <f>IF(AND(ISNUMBER(A224),ISNUMBER(B224),ISNUMBER($K$2),ISNUMBER($K$3),$K$3&gt;$K$2),(B224-$K$2)/($K$3-$K$2),"")</f>
        <v/>
      </c>
      <c r="D224" s="5">
        <f>IF(ISNUMBER(C224),IF(B224&lt;$K$3,LN(($K$3-$K$2)/($K$3-B224)),""),"")</f>
        <v/>
      </c>
      <c r="E224" s="5">
        <f>IF(AND(ISNUMBER(C224),ISNUMBER(D224),C224&gt;=0.2,C224&lt;=0.8),D224,"")</f>
        <v/>
      </c>
      <c r="F224" s="5">
        <f>IF(ISNUMBER(E224),A224,"")</f>
        <v/>
      </c>
      <c r="G224" s="5">
        <f>IF(AND(ISNUMBER(E224),ISNUMBER($K$4)),E224-($K$7+$K$4*A224),"")</f>
        <v/>
      </c>
    </row>
    <row r="225">
      <c r="A225" s="4" t="n"/>
      <c r="B225" s="4" t="n"/>
      <c r="C225" s="5">
        <f>IF(AND(ISNUMBER(A225),ISNUMBER(B225),ISNUMBER($K$2),ISNUMBER($K$3),$K$3&gt;$K$2),(B225-$K$2)/($K$3-$K$2),"")</f>
        <v/>
      </c>
      <c r="D225" s="5">
        <f>IF(ISNUMBER(C225),IF(B225&lt;$K$3,LN(($K$3-$K$2)/($K$3-B225)),""),"")</f>
        <v/>
      </c>
      <c r="E225" s="5">
        <f>IF(AND(ISNUMBER(C225),ISNUMBER(D225),C225&gt;=0.2,C225&lt;=0.8),D225,"")</f>
        <v/>
      </c>
      <c r="F225" s="5">
        <f>IF(ISNUMBER(E225),A225,"")</f>
        <v/>
      </c>
      <c r="G225" s="5">
        <f>IF(AND(ISNUMBER(E225),ISNUMBER($K$4)),E225-($K$7+$K$4*A225),"")</f>
        <v/>
      </c>
    </row>
    <row r="226">
      <c r="A226" s="4" t="n"/>
      <c r="B226" s="4" t="n"/>
      <c r="C226" s="5">
        <f>IF(AND(ISNUMBER(A226),ISNUMBER(B226),ISNUMBER($K$2),ISNUMBER($K$3),$K$3&gt;$K$2),(B226-$K$2)/($K$3-$K$2),"")</f>
        <v/>
      </c>
      <c r="D226" s="5">
        <f>IF(ISNUMBER(C226),IF(B226&lt;$K$3,LN(($K$3-$K$2)/($K$3-B226)),""),"")</f>
        <v/>
      </c>
      <c r="E226" s="5">
        <f>IF(AND(ISNUMBER(C226),ISNUMBER(D226),C226&gt;=0.2,C226&lt;=0.8),D226,"")</f>
        <v/>
      </c>
      <c r="F226" s="5">
        <f>IF(ISNUMBER(E226),A226,"")</f>
        <v/>
      </c>
      <c r="G226" s="5">
        <f>IF(AND(ISNUMBER(E226),ISNUMBER($K$4)),E226-($K$7+$K$4*A226),"")</f>
        <v/>
      </c>
    </row>
    <row r="227">
      <c r="A227" s="4" t="n"/>
      <c r="B227" s="4" t="n"/>
      <c r="C227" s="5">
        <f>IF(AND(ISNUMBER(A227),ISNUMBER(B227),ISNUMBER($K$2),ISNUMBER($K$3),$K$3&gt;$K$2),(B227-$K$2)/($K$3-$K$2),"")</f>
        <v/>
      </c>
      <c r="D227" s="5">
        <f>IF(ISNUMBER(C227),IF(B227&lt;$K$3,LN(($K$3-$K$2)/($K$3-B227)),""),"")</f>
        <v/>
      </c>
      <c r="E227" s="5">
        <f>IF(AND(ISNUMBER(C227),ISNUMBER(D227),C227&gt;=0.2,C227&lt;=0.8),D227,"")</f>
        <v/>
      </c>
      <c r="F227" s="5">
        <f>IF(ISNUMBER(E227),A227,"")</f>
        <v/>
      </c>
      <c r="G227" s="5">
        <f>IF(AND(ISNUMBER(E227),ISNUMBER($K$4)),E227-($K$7+$K$4*A227),"")</f>
        <v/>
      </c>
    </row>
    <row r="228">
      <c r="A228" s="4" t="n"/>
      <c r="B228" s="4" t="n"/>
      <c r="C228" s="5">
        <f>IF(AND(ISNUMBER(A228),ISNUMBER(B228),ISNUMBER($K$2),ISNUMBER($K$3),$K$3&gt;$K$2),(B228-$K$2)/($K$3-$K$2),"")</f>
        <v/>
      </c>
      <c r="D228" s="5">
        <f>IF(ISNUMBER(C228),IF(B228&lt;$K$3,LN(($K$3-$K$2)/($K$3-B228)),""),"")</f>
        <v/>
      </c>
      <c r="E228" s="5">
        <f>IF(AND(ISNUMBER(C228),ISNUMBER(D228),C228&gt;=0.2,C228&lt;=0.8),D228,"")</f>
        <v/>
      </c>
      <c r="F228" s="5">
        <f>IF(ISNUMBER(E228),A228,"")</f>
        <v/>
      </c>
      <c r="G228" s="5">
        <f>IF(AND(ISNUMBER(E228),ISNUMBER($K$4)),E228-($K$7+$K$4*A228),"")</f>
        <v/>
      </c>
    </row>
    <row r="229">
      <c r="A229" s="4" t="n"/>
      <c r="B229" s="4" t="n"/>
      <c r="C229" s="5">
        <f>IF(AND(ISNUMBER(A229),ISNUMBER(B229),ISNUMBER($K$2),ISNUMBER($K$3),$K$3&gt;$K$2),(B229-$K$2)/($K$3-$K$2),"")</f>
        <v/>
      </c>
      <c r="D229" s="5">
        <f>IF(ISNUMBER(C229),IF(B229&lt;$K$3,LN(($K$3-$K$2)/($K$3-B229)),""),"")</f>
        <v/>
      </c>
      <c r="E229" s="5">
        <f>IF(AND(ISNUMBER(C229),ISNUMBER(D229),C229&gt;=0.2,C229&lt;=0.8),D229,"")</f>
        <v/>
      </c>
      <c r="F229" s="5">
        <f>IF(ISNUMBER(E229),A229,"")</f>
        <v/>
      </c>
      <c r="G229" s="5">
        <f>IF(AND(ISNUMBER(E229),ISNUMBER($K$4)),E229-($K$7+$K$4*A229),"")</f>
        <v/>
      </c>
    </row>
    <row r="230">
      <c r="A230" s="4" t="n"/>
      <c r="B230" s="4" t="n"/>
      <c r="C230" s="5">
        <f>IF(AND(ISNUMBER(A230),ISNUMBER(B230),ISNUMBER($K$2),ISNUMBER($K$3),$K$3&gt;$K$2),(B230-$K$2)/($K$3-$K$2),"")</f>
        <v/>
      </c>
      <c r="D230" s="5">
        <f>IF(ISNUMBER(C230),IF(B230&lt;$K$3,LN(($K$3-$K$2)/($K$3-B230)),""),"")</f>
        <v/>
      </c>
      <c r="E230" s="5">
        <f>IF(AND(ISNUMBER(C230),ISNUMBER(D230),C230&gt;=0.2,C230&lt;=0.8),D230,"")</f>
        <v/>
      </c>
      <c r="F230" s="5">
        <f>IF(ISNUMBER(E230),A230,"")</f>
        <v/>
      </c>
      <c r="G230" s="5">
        <f>IF(AND(ISNUMBER(E230),ISNUMBER($K$4)),E230-($K$7+$K$4*A230),"")</f>
        <v/>
      </c>
    </row>
    <row r="231">
      <c r="A231" s="4" t="n"/>
      <c r="B231" s="4" t="n"/>
      <c r="C231" s="5">
        <f>IF(AND(ISNUMBER(A231),ISNUMBER(B231),ISNUMBER($K$2),ISNUMBER($K$3),$K$3&gt;$K$2),(B231-$K$2)/($K$3-$K$2),"")</f>
        <v/>
      </c>
      <c r="D231" s="5">
        <f>IF(ISNUMBER(C231),IF(B231&lt;$K$3,LN(($K$3-$K$2)/($K$3-B231)),""),"")</f>
        <v/>
      </c>
      <c r="E231" s="5">
        <f>IF(AND(ISNUMBER(C231),ISNUMBER(D231),C231&gt;=0.2,C231&lt;=0.8),D231,"")</f>
        <v/>
      </c>
      <c r="F231" s="5">
        <f>IF(ISNUMBER(E231),A231,"")</f>
        <v/>
      </c>
      <c r="G231" s="5">
        <f>IF(AND(ISNUMBER(E231),ISNUMBER($K$4)),E231-($K$7+$K$4*A231),"")</f>
        <v/>
      </c>
    </row>
    <row r="232">
      <c r="A232" s="4" t="n"/>
      <c r="B232" s="4" t="n"/>
      <c r="C232" s="5">
        <f>IF(AND(ISNUMBER(A232),ISNUMBER(B232),ISNUMBER($K$2),ISNUMBER($K$3),$K$3&gt;$K$2),(B232-$K$2)/($K$3-$K$2),"")</f>
        <v/>
      </c>
      <c r="D232" s="5">
        <f>IF(ISNUMBER(C232),IF(B232&lt;$K$3,LN(($K$3-$K$2)/($K$3-B232)),""),"")</f>
        <v/>
      </c>
      <c r="E232" s="5">
        <f>IF(AND(ISNUMBER(C232),ISNUMBER(D232),C232&gt;=0.2,C232&lt;=0.8),D232,"")</f>
        <v/>
      </c>
      <c r="F232" s="5">
        <f>IF(ISNUMBER(E232),A232,"")</f>
        <v/>
      </c>
      <c r="G232" s="5">
        <f>IF(AND(ISNUMBER(E232),ISNUMBER($K$4)),E232-($K$7+$K$4*A232),"")</f>
        <v/>
      </c>
    </row>
    <row r="233">
      <c r="A233" s="4" t="n"/>
      <c r="B233" s="4" t="n"/>
      <c r="C233" s="5">
        <f>IF(AND(ISNUMBER(A233),ISNUMBER(B233),ISNUMBER($K$2),ISNUMBER($K$3),$K$3&gt;$K$2),(B233-$K$2)/($K$3-$K$2),"")</f>
        <v/>
      </c>
      <c r="D233" s="5">
        <f>IF(ISNUMBER(C233),IF(B233&lt;$K$3,LN(($K$3-$K$2)/($K$3-B233)),""),"")</f>
        <v/>
      </c>
      <c r="E233" s="5">
        <f>IF(AND(ISNUMBER(C233),ISNUMBER(D233),C233&gt;=0.2,C233&lt;=0.8),D233,"")</f>
        <v/>
      </c>
      <c r="F233" s="5">
        <f>IF(ISNUMBER(E233),A233,"")</f>
        <v/>
      </c>
      <c r="G233" s="5">
        <f>IF(AND(ISNUMBER(E233),ISNUMBER($K$4)),E233-($K$7+$K$4*A233),"")</f>
        <v/>
      </c>
    </row>
    <row r="234">
      <c r="A234" s="4" t="n"/>
      <c r="B234" s="4" t="n"/>
      <c r="C234" s="5">
        <f>IF(AND(ISNUMBER(A234),ISNUMBER(B234),ISNUMBER($K$2),ISNUMBER($K$3),$K$3&gt;$K$2),(B234-$K$2)/($K$3-$K$2),"")</f>
        <v/>
      </c>
      <c r="D234" s="5">
        <f>IF(ISNUMBER(C234),IF(B234&lt;$K$3,LN(($K$3-$K$2)/($K$3-B234)),""),"")</f>
        <v/>
      </c>
      <c r="E234" s="5">
        <f>IF(AND(ISNUMBER(C234),ISNUMBER(D234),C234&gt;=0.2,C234&lt;=0.8),D234,"")</f>
        <v/>
      </c>
      <c r="F234" s="5">
        <f>IF(ISNUMBER(E234),A234,"")</f>
        <v/>
      </c>
      <c r="G234" s="5">
        <f>IF(AND(ISNUMBER(E234),ISNUMBER($K$4)),E234-($K$7+$K$4*A234),"")</f>
        <v/>
      </c>
    </row>
    <row r="235">
      <c r="A235" s="4" t="n"/>
      <c r="B235" s="4" t="n"/>
      <c r="C235" s="5">
        <f>IF(AND(ISNUMBER(A235),ISNUMBER(B235),ISNUMBER($K$2),ISNUMBER($K$3),$K$3&gt;$K$2),(B235-$K$2)/($K$3-$K$2),"")</f>
        <v/>
      </c>
      <c r="D235" s="5">
        <f>IF(ISNUMBER(C235),IF(B235&lt;$K$3,LN(($K$3-$K$2)/($K$3-B235)),""),"")</f>
        <v/>
      </c>
      <c r="E235" s="5">
        <f>IF(AND(ISNUMBER(C235),ISNUMBER(D235),C235&gt;=0.2,C235&lt;=0.8),D235,"")</f>
        <v/>
      </c>
      <c r="F235" s="5">
        <f>IF(ISNUMBER(E235),A235,"")</f>
        <v/>
      </c>
      <c r="G235" s="5">
        <f>IF(AND(ISNUMBER(E235),ISNUMBER($K$4)),E235-($K$7+$K$4*A235),"")</f>
        <v/>
      </c>
    </row>
    <row r="236">
      <c r="A236" s="4" t="n"/>
      <c r="B236" s="4" t="n"/>
      <c r="C236" s="5">
        <f>IF(AND(ISNUMBER(A236),ISNUMBER(B236),ISNUMBER($K$2),ISNUMBER($K$3),$K$3&gt;$K$2),(B236-$K$2)/($K$3-$K$2),"")</f>
        <v/>
      </c>
      <c r="D236" s="5">
        <f>IF(ISNUMBER(C236),IF(B236&lt;$K$3,LN(($K$3-$K$2)/($K$3-B236)),""),"")</f>
        <v/>
      </c>
      <c r="E236" s="5">
        <f>IF(AND(ISNUMBER(C236),ISNUMBER(D236),C236&gt;=0.2,C236&lt;=0.8),D236,"")</f>
        <v/>
      </c>
      <c r="F236" s="5">
        <f>IF(ISNUMBER(E236),A236,"")</f>
        <v/>
      </c>
      <c r="G236" s="5">
        <f>IF(AND(ISNUMBER(E236),ISNUMBER($K$4)),E236-($K$7+$K$4*A236),"")</f>
        <v/>
      </c>
    </row>
    <row r="237">
      <c r="A237" s="4" t="n"/>
      <c r="B237" s="4" t="n"/>
      <c r="C237" s="5">
        <f>IF(AND(ISNUMBER(A237),ISNUMBER(B237),ISNUMBER($K$2),ISNUMBER($K$3),$K$3&gt;$K$2),(B237-$K$2)/($K$3-$K$2),"")</f>
        <v/>
      </c>
      <c r="D237" s="5">
        <f>IF(ISNUMBER(C237),IF(B237&lt;$K$3,LN(($K$3-$K$2)/($K$3-B237)),""),"")</f>
        <v/>
      </c>
      <c r="E237" s="5">
        <f>IF(AND(ISNUMBER(C237),ISNUMBER(D237),C237&gt;=0.2,C237&lt;=0.8),D237,"")</f>
        <v/>
      </c>
      <c r="F237" s="5">
        <f>IF(ISNUMBER(E237),A237,"")</f>
        <v/>
      </c>
      <c r="G237" s="5">
        <f>IF(AND(ISNUMBER(E237),ISNUMBER($K$4)),E237-($K$7+$K$4*A237),"")</f>
        <v/>
      </c>
    </row>
    <row r="238">
      <c r="A238" s="4" t="n"/>
      <c r="B238" s="4" t="n"/>
      <c r="C238" s="5">
        <f>IF(AND(ISNUMBER(A238),ISNUMBER(B238),ISNUMBER($K$2),ISNUMBER($K$3),$K$3&gt;$K$2),(B238-$K$2)/($K$3-$K$2),"")</f>
        <v/>
      </c>
      <c r="D238" s="5">
        <f>IF(ISNUMBER(C238),IF(B238&lt;$K$3,LN(($K$3-$K$2)/($K$3-B238)),""),"")</f>
        <v/>
      </c>
      <c r="E238" s="5">
        <f>IF(AND(ISNUMBER(C238),ISNUMBER(D238),C238&gt;=0.2,C238&lt;=0.8),D238,"")</f>
        <v/>
      </c>
      <c r="F238" s="5">
        <f>IF(ISNUMBER(E238),A238,"")</f>
        <v/>
      </c>
      <c r="G238" s="5">
        <f>IF(AND(ISNUMBER(E238),ISNUMBER($K$4)),E238-($K$7+$K$4*A238),"")</f>
        <v/>
      </c>
    </row>
    <row r="239">
      <c r="A239" s="4" t="n"/>
      <c r="B239" s="4" t="n"/>
      <c r="C239" s="5">
        <f>IF(AND(ISNUMBER(A239),ISNUMBER(B239),ISNUMBER($K$2),ISNUMBER($K$3),$K$3&gt;$K$2),(B239-$K$2)/($K$3-$K$2),"")</f>
        <v/>
      </c>
      <c r="D239" s="5">
        <f>IF(ISNUMBER(C239),IF(B239&lt;$K$3,LN(($K$3-$K$2)/($K$3-B239)),""),"")</f>
        <v/>
      </c>
      <c r="E239" s="5">
        <f>IF(AND(ISNUMBER(C239),ISNUMBER(D239),C239&gt;=0.2,C239&lt;=0.8),D239,"")</f>
        <v/>
      </c>
      <c r="F239" s="5">
        <f>IF(ISNUMBER(E239),A239,"")</f>
        <v/>
      </c>
      <c r="G239" s="5">
        <f>IF(AND(ISNUMBER(E239),ISNUMBER($K$4)),E239-($K$7+$K$4*A239),"")</f>
        <v/>
      </c>
    </row>
    <row r="240">
      <c r="A240" s="4" t="n"/>
      <c r="B240" s="4" t="n"/>
      <c r="C240" s="5">
        <f>IF(AND(ISNUMBER(A240),ISNUMBER(B240),ISNUMBER($K$2),ISNUMBER($K$3),$K$3&gt;$K$2),(B240-$K$2)/($K$3-$K$2),"")</f>
        <v/>
      </c>
      <c r="D240" s="5">
        <f>IF(ISNUMBER(C240),IF(B240&lt;$K$3,LN(($K$3-$K$2)/($K$3-B240)),""),"")</f>
        <v/>
      </c>
      <c r="E240" s="5">
        <f>IF(AND(ISNUMBER(C240),ISNUMBER(D240),C240&gt;=0.2,C240&lt;=0.8),D240,"")</f>
        <v/>
      </c>
      <c r="F240" s="5">
        <f>IF(ISNUMBER(E240),A240,"")</f>
        <v/>
      </c>
      <c r="G240" s="5">
        <f>IF(AND(ISNUMBER(E240),ISNUMBER($K$4)),E240-($K$7+$K$4*A240),"")</f>
        <v/>
      </c>
    </row>
    <row r="241">
      <c r="A241" s="4" t="n"/>
      <c r="B241" s="4" t="n"/>
      <c r="C241" s="5">
        <f>IF(AND(ISNUMBER(A241),ISNUMBER(B241),ISNUMBER($K$2),ISNUMBER($K$3),$K$3&gt;$K$2),(B241-$K$2)/($K$3-$K$2),"")</f>
        <v/>
      </c>
      <c r="D241" s="5">
        <f>IF(ISNUMBER(C241),IF(B241&lt;$K$3,LN(($K$3-$K$2)/($K$3-B241)),""),"")</f>
        <v/>
      </c>
      <c r="E241" s="5">
        <f>IF(AND(ISNUMBER(C241),ISNUMBER(D241),C241&gt;=0.2,C241&lt;=0.8),D241,"")</f>
        <v/>
      </c>
      <c r="F241" s="5">
        <f>IF(ISNUMBER(E241),A241,"")</f>
        <v/>
      </c>
      <c r="G241" s="5">
        <f>IF(AND(ISNUMBER(E241),ISNUMBER($K$4)),E241-($K$7+$K$4*A241),"")</f>
        <v/>
      </c>
    </row>
    <row r="242">
      <c r="A242" s="4" t="n"/>
      <c r="B242" s="4" t="n"/>
      <c r="C242" s="5">
        <f>IF(AND(ISNUMBER(A242),ISNUMBER(B242),ISNUMBER($K$2),ISNUMBER($K$3),$K$3&gt;$K$2),(B242-$K$2)/($K$3-$K$2),"")</f>
        <v/>
      </c>
      <c r="D242" s="5">
        <f>IF(ISNUMBER(C242),IF(B242&lt;$K$3,LN(($K$3-$K$2)/($K$3-B242)),""),"")</f>
        <v/>
      </c>
      <c r="E242" s="5">
        <f>IF(AND(ISNUMBER(C242),ISNUMBER(D242),C242&gt;=0.2,C242&lt;=0.8),D242,"")</f>
        <v/>
      </c>
      <c r="F242" s="5">
        <f>IF(ISNUMBER(E242),A242,"")</f>
        <v/>
      </c>
      <c r="G242" s="5">
        <f>IF(AND(ISNUMBER(E242),ISNUMBER($K$4)),E242-($K$7+$K$4*A242),"")</f>
        <v/>
      </c>
    </row>
    <row r="243">
      <c r="A243" s="4" t="n"/>
      <c r="B243" s="4" t="n"/>
      <c r="C243" s="5">
        <f>IF(AND(ISNUMBER(A243),ISNUMBER(B243),ISNUMBER($K$2),ISNUMBER($K$3),$K$3&gt;$K$2),(B243-$K$2)/($K$3-$K$2),"")</f>
        <v/>
      </c>
      <c r="D243" s="5">
        <f>IF(ISNUMBER(C243),IF(B243&lt;$K$3,LN(($K$3-$K$2)/($K$3-B243)),""),"")</f>
        <v/>
      </c>
      <c r="E243" s="5">
        <f>IF(AND(ISNUMBER(C243),ISNUMBER(D243),C243&gt;=0.2,C243&lt;=0.8),D243,"")</f>
        <v/>
      </c>
      <c r="F243" s="5">
        <f>IF(ISNUMBER(E243),A243,"")</f>
        <v/>
      </c>
      <c r="G243" s="5">
        <f>IF(AND(ISNUMBER(E243),ISNUMBER($K$4)),E243-($K$7+$K$4*A243),"")</f>
        <v/>
      </c>
    </row>
    <row r="244">
      <c r="A244" s="4" t="n"/>
      <c r="B244" s="4" t="n"/>
      <c r="C244" s="5">
        <f>IF(AND(ISNUMBER(A244),ISNUMBER(B244),ISNUMBER($K$2),ISNUMBER($K$3),$K$3&gt;$K$2),(B244-$K$2)/($K$3-$K$2),"")</f>
        <v/>
      </c>
      <c r="D244" s="5">
        <f>IF(ISNUMBER(C244),IF(B244&lt;$K$3,LN(($K$3-$K$2)/($K$3-B244)),""),"")</f>
        <v/>
      </c>
      <c r="E244" s="5">
        <f>IF(AND(ISNUMBER(C244),ISNUMBER(D244),C244&gt;=0.2,C244&lt;=0.8),D244,"")</f>
        <v/>
      </c>
      <c r="F244" s="5">
        <f>IF(ISNUMBER(E244),A244,"")</f>
        <v/>
      </c>
      <c r="G244" s="5">
        <f>IF(AND(ISNUMBER(E244),ISNUMBER($K$4)),E244-($K$7+$K$4*A244),"")</f>
        <v/>
      </c>
    </row>
    <row r="245">
      <c r="A245" s="4" t="n"/>
      <c r="B245" s="4" t="n"/>
      <c r="C245" s="5">
        <f>IF(AND(ISNUMBER(A245),ISNUMBER(B245),ISNUMBER($K$2),ISNUMBER($K$3),$K$3&gt;$K$2),(B245-$K$2)/($K$3-$K$2),"")</f>
        <v/>
      </c>
      <c r="D245" s="5">
        <f>IF(ISNUMBER(C245),IF(B245&lt;$K$3,LN(($K$3-$K$2)/($K$3-B245)),""),"")</f>
        <v/>
      </c>
      <c r="E245" s="5">
        <f>IF(AND(ISNUMBER(C245),ISNUMBER(D245),C245&gt;=0.2,C245&lt;=0.8),D245,"")</f>
        <v/>
      </c>
      <c r="F245" s="5">
        <f>IF(ISNUMBER(E245),A245,"")</f>
        <v/>
      </c>
      <c r="G245" s="5">
        <f>IF(AND(ISNUMBER(E245),ISNUMBER($K$4)),E245-($K$7+$K$4*A245),"")</f>
        <v/>
      </c>
    </row>
    <row r="246">
      <c r="A246" s="4" t="n"/>
      <c r="B246" s="4" t="n"/>
      <c r="C246" s="5">
        <f>IF(AND(ISNUMBER(A246),ISNUMBER(B246),ISNUMBER($K$2),ISNUMBER($K$3),$K$3&gt;$K$2),(B246-$K$2)/($K$3-$K$2),"")</f>
        <v/>
      </c>
      <c r="D246" s="5">
        <f>IF(ISNUMBER(C246),IF(B246&lt;$K$3,LN(($K$3-$K$2)/($K$3-B246)),""),"")</f>
        <v/>
      </c>
      <c r="E246" s="5">
        <f>IF(AND(ISNUMBER(C246),ISNUMBER(D246),C246&gt;=0.2,C246&lt;=0.8),D246,"")</f>
        <v/>
      </c>
      <c r="F246" s="5">
        <f>IF(ISNUMBER(E246),A246,"")</f>
        <v/>
      </c>
      <c r="G246" s="5">
        <f>IF(AND(ISNUMBER(E246),ISNUMBER($K$4)),E246-($K$7+$K$4*A246),"")</f>
        <v/>
      </c>
    </row>
    <row r="247">
      <c r="A247" s="4" t="n"/>
      <c r="B247" s="4" t="n"/>
      <c r="C247" s="5">
        <f>IF(AND(ISNUMBER(A247),ISNUMBER(B247),ISNUMBER($K$2),ISNUMBER($K$3),$K$3&gt;$K$2),(B247-$K$2)/($K$3-$K$2),"")</f>
        <v/>
      </c>
      <c r="D247" s="5">
        <f>IF(ISNUMBER(C247),IF(B247&lt;$K$3,LN(($K$3-$K$2)/($K$3-B247)),""),"")</f>
        <v/>
      </c>
      <c r="E247" s="5">
        <f>IF(AND(ISNUMBER(C247),ISNUMBER(D247),C247&gt;=0.2,C247&lt;=0.8),D247,"")</f>
        <v/>
      </c>
      <c r="F247" s="5">
        <f>IF(ISNUMBER(E247),A247,"")</f>
        <v/>
      </c>
      <c r="G247" s="5">
        <f>IF(AND(ISNUMBER(E247),ISNUMBER($K$4)),E247-($K$7+$K$4*A247),"")</f>
        <v/>
      </c>
    </row>
    <row r="248">
      <c r="A248" s="4" t="n"/>
      <c r="B248" s="4" t="n"/>
      <c r="C248" s="5">
        <f>IF(AND(ISNUMBER(A248),ISNUMBER(B248),ISNUMBER($K$2),ISNUMBER($K$3),$K$3&gt;$K$2),(B248-$K$2)/($K$3-$K$2),"")</f>
        <v/>
      </c>
      <c r="D248" s="5">
        <f>IF(ISNUMBER(C248),IF(B248&lt;$K$3,LN(($K$3-$K$2)/($K$3-B248)),""),"")</f>
        <v/>
      </c>
      <c r="E248" s="5">
        <f>IF(AND(ISNUMBER(C248),ISNUMBER(D248),C248&gt;=0.2,C248&lt;=0.8),D248,"")</f>
        <v/>
      </c>
      <c r="F248" s="5">
        <f>IF(ISNUMBER(E248),A248,"")</f>
        <v/>
      </c>
      <c r="G248" s="5">
        <f>IF(AND(ISNUMBER(E248),ISNUMBER($K$4)),E248-($K$7+$K$4*A248),"")</f>
        <v/>
      </c>
    </row>
    <row r="249">
      <c r="A249" s="4" t="n"/>
      <c r="B249" s="4" t="n"/>
      <c r="C249" s="5">
        <f>IF(AND(ISNUMBER(A249),ISNUMBER(B249),ISNUMBER($K$2),ISNUMBER($K$3),$K$3&gt;$K$2),(B249-$K$2)/($K$3-$K$2),"")</f>
        <v/>
      </c>
      <c r="D249" s="5">
        <f>IF(ISNUMBER(C249),IF(B249&lt;$K$3,LN(($K$3-$K$2)/($K$3-B249)),""),"")</f>
        <v/>
      </c>
      <c r="E249" s="5">
        <f>IF(AND(ISNUMBER(C249),ISNUMBER(D249),C249&gt;=0.2,C249&lt;=0.8),D249,"")</f>
        <v/>
      </c>
      <c r="F249" s="5">
        <f>IF(ISNUMBER(E249),A249,"")</f>
        <v/>
      </c>
      <c r="G249" s="5">
        <f>IF(AND(ISNUMBER(E249),ISNUMBER($K$4)),E249-($K$7+$K$4*A249),"")</f>
        <v/>
      </c>
    </row>
    <row r="250">
      <c r="A250" s="4" t="n"/>
      <c r="B250" s="4" t="n"/>
      <c r="C250" s="5">
        <f>IF(AND(ISNUMBER(A250),ISNUMBER(B250),ISNUMBER($K$2),ISNUMBER($K$3),$K$3&gt;$K$2),(B250-$K$2)/($K$3-$K$2),"")</f>
        <v/>
      </c>
      <c r="D250" s="5">
        <f>IF(ISNUMBER(C250),IF(B250&lt;$K$3,LN(($K$3-$K$2)/($K$3-B250)),""),"")</f>
        <v/>
      </c>
      <c r="E250" s="5">
        <f>IF(AND(ISNUMBER(C250),ISNUMBER(D250),C250&gt;=0.2,C250&lt;=0.8),D250,"")</f>
        <v/>
      </c>
      <c r="F250" s="5">
        <f>IF(ISNUMBER(E250),A250,"")</f>
        <v/>
      </c>
      <c r="G250" s="5">
        <f>IF(AND(ISNUMBER(E250),ISNUMBER($K$4)),E250-($K$7+$K$4*A250),"")</f>
        <v/>
      </c>
    </row>
    <row r="251">
      <c r="A251" s="4" t="n"/>
      <c r="B251" s="4" t="n"/>
      <c r="C251" s="5">
        <f>IF(AND(ISNUMBER(A251),ISNUMBER(B251),ISNUMBER($K$2),ISNUMBER($K$3),$K$3&gt;$K$2),(B251-$K$2)/($K$3-$K$2),"")</f>
        <v/>
      </c>
      <c r="D251" s="5">
        <f>IF(ISNUMBER(C251),IF(B251&lt;$K$3,LN(($K$3-$K$2)/($K$3-B251)),""),"")</f>
        <v/>
      </c>
      <c r="E251" s="5">
        <f>IF(AND(ISNUMBER(C251),ISNUMBER(D251),C251&gt;=0.2,C251&lt;=0.8),D251,"")</f>
        <v/>
      </c>
      <c r="F251" s="5">
        <f>IF(ISNUMBER(E251),A251,"")</f>
        <v/>
      </c>
      <c r="G251" s="5">
        <f>IF(AND(ISNUMBER(E251),ISNUMBER($K$4)),E251-($K$7+$K$4*A251),"")</f>
        <v/>
      </c>
    </row>
    <row r="252">
      <c r="A252" s="4" t="n"/>
      <c r="B252" s="4" t="n"/>
      <c r="C252" s="5">
        <f>IF(AND(ISNUMBER(A252),ISNUMBER(B252),ISNUMBER($K$2),ISNUMBER($K$3),$K$3&gt;$K$2),(B252-$K$2)/($K$3-$K$2),"")</f>
        <v/>
      </c>
      <c r="D252" s="5">
        <f>IF(ISNUMBER(C252),IF(B252&lt;$K$3,LN(($K$3-$K$2)/($K$3-B252)),""),"")</f>
        <v/>
      </c>
      <c r="E252" s="5">
        <f>IF(AND(ISNUMBER(C252),ISNUMBER(D252),C252&gt;=0.2,C252&lt;=0.8),D252,"")</f>
        <v/>
      </c>
      <c r="F252" s="5">
        <f>IF(ISNUMBER(E252),A252,"")</f>
        <v/>
      </c>
      <c r="G252" s="5">
        <f>IF(AND(ISNUMBER(E252),ISNUMBER($K$4)),E252-($K$7+$K$4*A252),"")</f>
        <v/>
      </c>
    </row>
    <row r="253">
      <c r="A253" s="4" t="n"/>
      <c r="B253" s="4" t="n"/>
      <c r="C253" s="5">
        <f>IF(AND(ISNUMBER(A253),ISNUMBER(B253),ISNUMBER($K$2),ISNUMBER($K$3),$K$3&gt;$K$2),(B253-$K$2)/($K$3-$K$2),"")</f>
        <v/>
      </c>
      <c r="D253" s="5">
        <f>IF(ISNUMBER(C253),IF(B253&lt;$K$3,LN(($K$3-$K$2)/($K$3-B253)),""),"")</f>
        <v/>
      </c>
      <c r="E253" s="5">
        <f>IF(AND(ISNUMBER(C253),ISNUMBER(D253),C253&gt;=0.2,C253&lt;=0.8),D253,"")</f>
        <v/>
      </c>
      <c r="F253" s="5">
        <f>IF(ISNUMBER(E253),A253,"")</f>
        <v/>
      </c>
      <c r="G253" s="5">
        <f>IF(AND(ISNUMBER(E253),ISNUMBER($K$4)),E253-($K$7+$K$4*A253),"")</f>
        <v/>
      </c>
    </row>
    <row r="254">
      <c r="A254" s="4" t="n"/>
      <c r="B254" s="4" t="n"/>
      <c r="C254" s="5">
        <f>IF(AND(ISNUMBER(A254),ISNUMBER(B254),ISNUMBER($K$2),ISNUMBER($K$3),$K$3&gt;$K$2),(B254-$K$2)/($K$3-$K$2),"")</f>
        <v/>
      </c>
      <c r="D254" s="5">
        <f>IF(ISNUMBER(C254),IF(B254&lt;$K$3,LN(($K$3-$K$2)/($K$3-B254)),""),"")</f>
        <v/>
      </c>
      <c r="E254" s="5">
        <f>IF(AND(ISNUMBER(C254),ISNUMBER(D254),C254&gt;=0.2,C254&lt;=0.8),D254,"")</f>
        <v/>
      </c>
      <c r="F254" s="5">
        <f>IF(ISNUMBER(E254),A254,"")</f>
        <v/>
      </c>
      <c r="G254" s="5">
        <f>IF(AND(ISNUMBER(E254),ISNUMBER($K$4)),E254-($K$7+$K$4*A254),"")</f>
        <v/>
      </c>
    </row>
    <row r="255">
      <c r="A255" s="4" t="n"/>
      <c r="B255" s="4" t="n"/>
      <c r="C255" s="5">
        <f>IF(AND(ISNUMBER(A255),ISNUMBER(B255),ISNUMBER($K$2),ISNUMBER($K$3),$K$3&gt;$K$2),(B255-$K$2)/($K$3-$K$2),"")</f>
        <v/>
      </c>
      <c r="D255" s="5">
        <f>IF(ISNUMBER(C255),IF(B255&lt;$K$3,LN(($K$3-$K$2)/($K$3-B255)),""),"")</f>
        <v/>
      </c>
      <c r="E255" s="5">
        <f>IF(AND(ISNUMBER(C255),ISNUMBER(D255),C255&gt;=0.2,C255&lt;=0.8),D255,"")</f>
        <v/>
      </c>
      <c r="F255" s="5">
        <f>IF(ISNUMBER(E255),A255,"")</f>
        <v/>
      </c>
      <c r="G255" s="5">
        <f>IF(AND(ISNUMBER(E255),ISNUMBER($K$4)),E255-($K$7+$K$4*A255),"")</f>
        <v/>
      </c>
    </row>
    <row r="256">
      <c r="A256" s="4" t="n"/>
      <c r="B256" s="4" t="n"/>
      <c r="C256" s="5">
        <f>IF(AND(ISNUMBER(A256),ISNUMBER(B256),ISNUMBER($K$2),ISNUMBER($K$3),$K$3&gt;$K$2),(B256-$K$2)/($K$3-$K$2),"")</f>
        <v/>
      </c>
      <c r="D256" s="5">
        <f>IF(ISNUMBER(C256),IF(B256&lt;$K$3,LN(($K$3-$K$2)/($K$3-B256)),""),"")</f>
        <v/>
      </c>
      <c r="E256" s="5">
        <f>IF(AND(ISNUMBER(C256),ISNUMBER(D256),C256&gt;=0.2,C256&lt;=0.8),D256,"")</f>
        <v/>
      </c>
      <c r="F256" s="5">
        <f>IF(ISNUMBER(E256),A256,"")</f>
        <v/>
      </c>
      <c r="G256" s="5">
        <f>IF(AND(ISNUMBER(E256),ISNUMBER($K$4)),E256-($K$7+$K$4*A256),"")</f>
        <v/>
      </c>
    </row>
    <row r="257">
      <c r="A257" s="4" t="n"/>
      <c r="B257" s="4" t="n"/>
      <c r="C257" s="5">
        <f>IF(AND(ISNUMBER(A257),ISNUMBER(B257),ISNUMBER($K$2),ISNUMBER($K$3),$K$3&gt;$K$2),(B257-$K$2)/($K$3-$K$2),"")</f>
        <v/>
      </c>
      <c r="D257" s="5">
        <f>IF(ISNUMBER(C257),IF(B257&lt;$K$3,LN(($K$3-$K$2)/($K$3-B257)),""),"")</f>
        <v/>
      </c>
      <c r="E257" s="5">
        <f>IF(AND(ISNUMBER(C257),ISNUMBER(D257),C257&gt;=0.2,C257&lt;=0.8),D257,"")</f>
        <v/>
      </c>
      <c r="F257" s="5">
        <f>IF(ISNUMBER(E257),A257,"")</f>
        <v/>
      </c>
      <c r="G257" s="5">
        <f>IF(AND(ISNUMBER(E257),ISNUMBER($K$4)),E257-($K$7+$K$4*A257),"")</f>
        <v/>
      </c>
    </row>
    <row r="258">
      <c r="A258" s="4" t="n"/>
      <c r="B258" s="4" t="n"/>
      <c r="C258" s="5">
        <f>IF(AND(ISNUMBER(A258),ISNUMBER(B258),ISNUMBER($K$2),ISNUMBER($K$3),$K$3&gt;$K$2),(B258-$K$2)/($K$3-$K$2),"")</f>
        <v/>
      </c>
      <c r="D258" s="5">
        <f>IF(ISNUMBER(C258),IF(B258&lt;$K$3,LN(($K$3-$K$2)/($K$3-B258)),""),"")</f>
        <v/>
      </c>
      <c r="E258" s="5">
        <f>IF(AND(ISNUMBER(C258),ISNUMBER(D258),C258&gt;=0.2,C258&lt;=0.8),D258,"")</f>
        <v/>
      </c>
      <c r="F258" s="5">
        <f>IF(ISNUMBER(E258),A258,"")</f>
        <v/>
      </c>
      <c r="G258" s="5">
        <f>IF(AND(ISNUMBER(E258),ISNUMBER($K$4)),E258-($K$7+$K$4*A258),"")</f>
        <v/>
      </c>
    </row>
    <row r="259">
      <c r="A259" s="4" t="n"/>
      <c r="B259" s="4" t="n"/>
      <c r="C259" s="5">
        <f>IF(AND(ISNUMBER(A259),ISNUMBER(B259),ISNUMBER($K$2),ISNUMBER($K$3),$K$3&gt;$K$2),(B259-$K$2)/($K$3-$K$2),"")</f>
        <v/>
      </c>
      <c r="D259" s="5">
        <f>IF(ISNUMBER(C259),IF(B259&lt;$K$3,LN(($K$3-$K$2)/($K$3-B259)),""),"")</f>
        <v/>
      </c>
      <c r="E259" s="5">
        <f>IF(AND(ISNUMBER(C259),ISNUMBER(D259),C259&gt;=0.2,C259&lt;=0.8),D259,"")</f>
        <v/>
      </c>
      <c r="F259" s="5">
        <f>IF(ISNUMBER(E259),A259,"")</f>
        <v/>
      </c>
      <c r="G259" s="5">
        <f>IF(AND(ISNUMBER(E259),ISNUMBER($K$4)),E259-($K$7+$K$4*A259),"")</f>
        <v/>
      </c>
    </row>
    <row r="260">
      <c r="A260" s="4" t="n"/>
      <c r="B260" s="4" t="n"/>
      <c r="C260" s="5">
        <f>IF(AND(ISNUMBER(A260),ISNUMBER(B260),ISNUMBER($K$2),ISNUMBER($K$3),$K$3&gt;$K$2),(B260-$K$2)/($K$3-$K$2),"")</f>
        <v/>
      </c>
      <c r="D260" s="5">
        <f>IF(ISNUMBER(C260),IF(B260&lt;$K$3,LN(($K$3-$K$2)/($K$3-B260)),""),"")</f>
        <v/>
      </c>
      <c r="E260" s="5">
        <f>IF(AND(ISNUMBER(C260),ISNUMBER(D260),C260&gt;=0.2,C260&lt;=0.8),D260,"")</f>
        <v/>
      </c>
      <c r="F260" s="5">
        <f>IF(ISNUMBER(E260),A260,"")</f>
        <v/>
      </c>
      <c r="G260" s="5">
        <f>IF(AND(ISNUMBER(E260),ISNUMBER($K$4)),E260-($K$7+$K$4*A260),"")</f>
        <v/>
      </c>
    </row>
    <row r="261">
      <c r="A261" s="4" t="n"/>
      <c r="B261" s="4" t="n"/>
      <c r="C261" s="5">
        <f>IF(AND(ISNUMBER(A261),ISNUMBER(B261),ISNUMBER($K$2),ISNUMBER($K$3),$K$3&gt;$K$2),(B261-$K$2)/($K$3-$K$2),"")</f>
        <v/>
      </c>
      <c r="D261" s="5">
        <f>IF(ISNUMBER(C261),IF(B261&lt;$K$3,LN(($K$3-$K$2)/($K$3-B261)),""),"")</f>
        <v/>
      </c>
      <c r="E261" s="5">
        <f>IF(AND(ISNUMBER(C261),ISNUMBER(D261),C261&gt;=0.2,C261&lt;=0.8),D261,"")</f>
        <v/>
      </c>
      <c r="F261" s="5">
        <f>IF(ISNUMBER(E261),A261,"")</f>
        <v/>
      </c>
      <c r="G261" s="5">
        <f>IF(AND(ISNUMBER(E261),ISNUMBER($K$4)),E261-($K$7+$K$4*A261),"")</f>
        <v/>
      </c>
    </row>
    <row r="262">
      <c r="A262" s="4" t="n"/>
      <c r="B262" s="4" t="n"/>
      <c r="C262" s="5">
        <f>IF(AND(ISNUMBER(A262),ISNUMBER(B262),ISNUMBER($K$2),ISNUMBER($K$3),$K$3&gt;$K$2),(B262-$K$2)/($K$3-$K$2),"")</f>
        <v/>
      </c>
      <c r="D262" s="5">
        <f>IF(ISNUMBER(C262),IF(B262&lt;$K$3,LN(($K$3-$K$2)/($K$3-B262)),""),"")</f>
        <v/>
      </c>
      <c r="E262" s="5">
        <f>IF(AND(ISNUMBER(C262),ISNUMBER(D262),C262&gt;=0.2,C262&lt;=0.8),D262,"")</f>
        <v/>
      </c>
      <c r="F262" s="5">
        <f>IF(ISNUMBER(E262),A262,"")</f>
        <v/>
      </c>
      <c r="G262" s="5">
        <f>IF(AND(ISNUMBER(E262),ISNUMBER($K$4)),E262-($K$7+$K$4*A262),"")</f>
        <v/>
      </c>
    </row>
    <row r="263">
      <c r="A263" s="4" t="n"/>
      <c r="B263" s="4" t="n"/>
      <c r="C263" s="5">
        <f>IF(AND(ISNUMBER(A263),ISNUMBER(B263),ISNUMBER($K$2),ISNUMBER($K$3),$K$3&gt;$K$2),(B263-$K$2)/($K$3-$K$2),"")</f>
        <v/>
      </c>
      <c r="D263" s="5">
        <f>IF(ISNUMBER(C263),IF(B263&lt;$K$3,LN(($K$3-$K$2)/($K$3-B263)),""),"")</f>
        <v/>
      </c>
      <c r="E263" s="5">
        <f>IF(AND(ISNUMBER(C263),ISNUMBER(D263),C263&gt;=0.2,C263&lt;=0.8),D263,"")</f>
        <v/>
      </c>
      <c r="F263" s="5">
        <f>IF(ISNUMBER(E263),A263,"")</f>
        <v/>
      </c>
      <c r="G263" s="5">
        <f>IF(AND(ISNUMBER(E263),ISNUMBER($K$4)),E263-($K$7+$K$4*A263),"")</f>
        <v/>
      </c>
    </row>
    <row r="264">
      <c r="A264" s="4" t="n"/>
      <c r="B264" s="4" t="n"/>
      <c r="C264" s="5">
        <f>IF(AND(ISNUMBER(A264),ISNUMBER(B264),ISNUMBER($K$2),ISNUMBER($K$3),$K$3&gt;$K$2),(B264-$K$2)/($K$3-$K$2),"")</f>
        <v/>
      </c>
      <c r="D264" s="5">
        <f>IF(ISNUMBER(C264),IF(B264&lt;$K$3,LN(($K$3-$K$2)/($K$3-B264)),""),"")</f>
        <v/>
      </c>
      <c r="E264" s="5">
        <f>IF(AND(ISNUMBER(C264),ISNUMBER(D264),C264&gt;=0.2,C264&lt;=0.8),D264,"")</f>
        <v/>
      </c>
      <c r="F264" s="5">
        <f>IF(ISNUMBER(E264),A264,"")</f>
        <v/>
      </c>
      <c r="G264" s="5">
        <f>IF(AND(ISNUMBER(E264),ISNUMBER($K$4)),E264-($K$7+$K$4*A264),"")</f>
        <v/>
      </c>
    </row>
    <row r="265">
      <c r="A265" s="4" t="n"/>
      <c r="B265" s="4" t="n"/>
      <c r="C265" s="5">
        <f>IF(AND(ISNUMBER(A265),ISNUMBER(B265),ISNUMBER($K$2),ISNUMBER($K$3),$K$3&gt;$K$2),(B265-$K$2)/($K$3-$K$2),"")</f>
        <v/>
      </c>
      <c r="D265" s="5">
        <f>IF(ISNUMBER(C265),IF(B265&lt;$K$3,LN(($K$3-$K$2)/($K$3-B265)),""),"")</f>
        <v/>
      </c>
      <c r="E265" s="5">
        <f>IF(AND(ISNUMBER(C265),ISNUMBER(D265),C265&gt;=0.2,C265&lt;=0.8),D265,"")</f>
        <v/>
      </c>
      <c r="F265" s="5">
        <f>IF(ISNUMBER(E265),A265,"")</f>
        <v/>
      </c>
      <c r="G265" s="5">
        <f>IF(AND(ISNUMBER(E265),ISNUMBER($K$4)),E265-($K$7+$K$4*A265),"")</f>
        <v/>
      </c>
    </row>
    <row r="266">
      <c r="A266" s="4" t="n"/>
      <c r="B266" s="4" t="n"/>
      <c r="C266" s="5">
        <f>IF(AND(ISNUMBER(A266),ISNUMBER(B266),ISNUMBER($K$2),ISNUMBER($K$3),$K$3&gt;$K$2),(B266-$K$2)/($K$3-$K$2),"")</f>
        <v/>
      </c>
      <c r="D266" s="5">
        <f>IF(ISNUMBER(C266),IF(B266&lt;$K$3,LN(($K$3-$K$2)/($K$3-B266)),""),"")</f>
        <v/>
      </c>
      <c r="E266" s="5">
        <f>IF(AND(ISNUMBER(C266),ISNUMBER(D266),C266&gt;=0.2,C266&lt;=0.8),D266,"")</f>
        <v/>
      </c>
      <c r="F266" s="5">
        <f>IF(ISNUMBER(E266),A266,"")</f>
        <v/>
      </c>
      <c r="G266" s="5">
        <f>IF(AND(ISNUMBER(E266),ISNUMBER($K$4)),E266-($K$7+$K$4*A266),"")</f>
        <v/>
      </c>
    </row>
    <row r="267">
      <c r="A267" s="4" t="n"/>
      <c r="B267" s="4" t="n"/>
      <c r="C267" s="5">
        <f>IF(AND(ISNUMBER(A267),ISNUMBER(B267),ISNUMBER($K$2),ISNUMBER($K$3),$K$3&gt;$K$2),(B267-$K$2)/($K$3-$K$2),"")</f>
        <v/>
      </c>
      <c r="D267" s="5">
        <f>IF(ISNUMBER(C267),IF(B267&lt;$K$3,LN(($K$3-$K$2)/($K$3-B267)),""),"")</f>
        <v/>
      </c>
      <c r="E267" s="5">
        <f>IF(AND(ISNUMBER(C267),ISNUMBER(D267),C267&gt;=0.2,C267&lt;=0.8),D267,"")</f>
        <v/>
      </c>
      <c r="F267" s="5">
        <f>IF(ISNUMBER(E267),A267,"")</f>
        <v/>
      </c>
      <c r="G267" s="5">
        <f>IF(AND(ISNUMBER(E267),ISNUMBER($K$4)),E267-($K$7+$K$4*A267),"")</f>
        <v/>
      </c>
    </row>
    <row r="268">
      <c r="A268" s="4" t="n"/>
      <c r="B268" s="4" t="n"/>
      <c r="C268" s="5">
        <f>IF(AND(ISNUMBER(A268),ISNUMBER(B268),ISNUMBER($K$2),ISNUMBER($K$3),$K$3&gt;$K$2),(B268-$K$2)/($K$3-$K$2),"")</f>
        <v/>
      </c>
      <c r="D268" s="5">
        <f>IF(ISNUMBER(C268),IF(B268&lt;$K$3,LN(($K$3-$K$2)/($K$3-B268)),""),"")</f>
        <v/>
      </c>
      <c r="E268" s="5">
        <f>IF(AND(ISNUMBER(C268),ISNUMBER(D268),C268&gt;=0.2,C268&lt;=0.8),D268,"")</f>
        <v/>
      </c>
      <c r="F268" s="5">
        <f>IF(ISNUMBER(E268),A268,"")</f>
        <v/>
      </c>
      <c r="G268" s="5">
        <f>IF(AND(ISNUMBER(E268),ISNUMBER($K$4)),E268-($K$7+$K$4*A268),"")</f>
        <v/>
      </c>
    </row>
    <row r="269">
      <c r="A269" s="4" t="n"/>
      <c r="B269" s="4" t="n"/>
      <c r="C269" s="5">
        <f>IF(AND(ISNUMBER(A269),ISNUMBER(B269),ISNUMBER($K$2),ISNUMBER($K$3),$K$3&gt;$K$2),(B269-$K$2)/($K$3-$K$2),"")</f>
        <v/>
      </c>
      <c r="D269" s="5">
        <f>IF(ISNUMBER(C269),IF(B269&lt;$K$3,LN(($K$3-$K$2)/($K$3-B269)),""),"")</f>
        <v/>
      </c>
      <c r="E269" s="5">
        <f>IF(AND(ISNUMBER(C269),ISNUMBER(D269),C269&gt;=0.2,C269&lt;=0.8),D269,"")</f>
        <v/>
      </c>
      <c r="F269" s="5">
        <f>IF(ISNUMBER(E269),A269,"")</f>
        <v/>
      </c>
      <c r="G269" s="5">
        <f>IF(AND(ISNUMBER(E269),ISNUMBER($K$4)),E269-($K$7+$K$4*A269),"")</f>
        <v/>
      </c>
    </row>
    <row r="270">
      <c r="A270" s="4" t="n"/>
      <c r="B270" s="4" t="n"/>
      <c r="C270" s="5">
        <f>IF(AND(ISNUMBER(A270),ISNUMBER(B270),ISNUMBER($K$2),ISNUMBER($K$3),$K$3&gt;$K$2),(B270-$K$2)/($K$3-$K$2),"")</f>
        <v/>
      </c>
      <c r="D270" s="5">
        <f>IF(ISNUMBER(C270),IF(B270&lt;$K$3,LN(($K$3-$K$2)/($K$3-B270)),""),"")</f>
        <v/>
      </c>
      <c r="E270" s="5">
        <f>IF(AND(ISNUMBER(C270),ISNUMBER(D270),C270&gt;=0.2,C270&lt;=0.8),D270,"")</f>
        <v/>
      </c>
      <c r="F270" s="5">
        <f>IF(ISNUMBER(E270),A270,"")</f>
        <v/>
      </c>
      <c r="G270" s="5">
        <f>IF(AND(ISNUMBER(E270),ISNUMBER($K$4)),E270-($K$7+$K$4*A270),"")</f>
        <v/>
      </c>
    </row>
    <row r="271">
      <c r="A271" s="4" t="n"/>
      <c r="B271" s="4" t="n"/>
      <c r="C271" s="5">
        <f>IF(AND(ISNUMBER(A271),ISNUMBER(B271),ISNUMBER($K$2),ISNUMBER($K$3),$K$3&gt;$K$2),(B271-$K$2)/($K$3-$K$2),"")</f>
        <v/>
      </c>
      <c r="D271" s="5">
        <f>IF(ISNUMBER(C271),IF(B271&lt;$K$3,LN(($K$3-$K$2)/($K$3-B271)),""),"")</f>
        <v/>
      </c>
      <c r="E271" s="5">
        <f>IF(AND(ISNUMBER(C271),ISNUMBER(D271),C271&gt;=0.2,C271&lt;=0.8),D271,"")</f>
        <v/>
      </c>
      <c r="F271" s="5">
        <f>IF(ISNUMBER(E271),A271,"")</f>
        <v/>
      </c>
      <c r="G271" s="5">
        <f>IF(AND(ISNUMBER(E271),ISNUMBER($K$4)),E271-($K$7+$K$4*A271),"")</f>
        <v/>
      </c>
    </row>
    <row r="272">
      <c r="A272" s="4" t="n"/>
      <c r="B272" s="4" t="n"/>
      <c r="C272" s="5">
        <f>IF(AND(ISNUMBER(A272),ISNUMBER(B272),ISNUMBER($K$2),ISNUMBER($K$3),$K$3&gt;$K$2),(B272-$K$2)/($K$3-$K$2),"")</f>
        <v/>
      </c>
      <c r="D272" s="5">
        <f>IF(ISNUMBER(C272),IF(B272&lt;$K$3,LN(($K$3-$K$2)/($K$3-B272)),""),"")</f>
        <v/>
      </c>
      <c r="E272" s="5">
        <f>IF(AND(ISNUMBER(C272),ISNUMBER(D272),C272&gt;=0.2,C272&lt;=0.8),D272,"")</f>
        <v/>
      </c>
      <c r="F272" s="5">
        <f>IF(ISNUMBER(E272),A272,"")</f>
        <v/>
      </c>
      <c r="G272" s="5">
        <f>IF(AND(ISNUMBER(E272),ISNUMBER($K$4)),E272-($K$7+$K$4*A272),"")</f>
        <v/>
      </c>
    </row>
    <row r="273">
      <c r="A273" s="4" t="n"/>
      <c r="B273" s="4" t="n"/>
      <c r="C273" s="5">
        <f>IF(AND(ISNUMBER(A273),ISNUMBER(B273),ISNUMBER($K$2),ISNUMBER($K$3),$K$3&gt;$K$2),(B273-$K$2)/($K$3-$K$2),"")</f>
        <v/>
      </c>
      <c r="D273" s="5">
        <f>IF(ISNUMBER(C273),IF(B273&lt;$K$3,LN(($K$3-$K$2)/($K$3-B273)),""),"")</f>
        <v/>
      </c>
      <c r="E273" s="5">
        <f>IF(AND(ISNUMBER(C273),ISNUMBER(D273),C273&gt;=0.2,C273&lt;=0.8),D273,"")</f>
        <v/>
      </c>
      <c r="F273" s="5">
        <f>IF(ISNUMBER(E273),A273,"")</f>
        <v/>
      </c>
      <c r="G273" s="5">
        <f>IF(AND(ISNUMBER(E273),ISNUMBER($K$4)),E273-($K$7+$K$4*A273),"")</f>
        <v/>
      </c>
    </row>
    <row r="274">
      <c r="A274" s="4" t="n"/>
      <c r="B274" s="4" t="n"/>
      <c r="C274" s="5">
        <f>IF(AND(ISNUMBER(A274),ISNUMBER(B274),ISNUMBER($K$2),ISNUMBER($K$3),$K$3&gt;$K$2),(B274-$K$2)/($K$3-$K$2),"")</f>
        <v/>
      </c>
      <c r="D274" s="5">
        <f>IF(ISNUMBER(C274),IF(B274&lt;$K$3,LN(($K$3-$K$2)/($K$3-B274)),""),"")</f>
        <v/>
      </c>
      <c r="E274" s="5">
        <f>IF(AND(ISNUMBER(C274),ISNUMBER(D274),C274&gt;=0.2,C274&lt;=0.8),D274,"")</f>
        <v/>
      </c>
      <c r="F274" s="5">
        <f>IF(ISNUMBER(E274),A274,"")</f>
        <v/>
      </c>
      <c r="G274" s="5">
        <f>IF(AND(ISNUMBER(E274),ISNUMBER($K$4)),E274-($K$7+$K$4*A274),"")</f>
        <v/>
      </c>
    </row>
    <row r="275">
      <c r="A275" s="4" t="n"/>
      <c r="B275" s="4" t="n"/>
      <c r="C275" s="5">
        <f>IF(AND(ISNUMBER(A275),ISNUMBER(B275),ISNUMBER($K$2),ISNUMBER($K$3),$K$3&gt;$K$2),(B275-$K$2)/($K$3-$K$2),"")</f>
        <v/>
      </c>
      <c r="D275" s="5">
        <f>IF(ISNUMBER(C275),IF(B275&lt;$K$3,LN(($K$3-$K$2)/($K$3-B275)),""),"")</f>
        <v/>
      </c>
      <c r="E275" s="5">
        <f>IF(AND(ISNUMBER(C275),ISNUMBER(D275),C275&gt;=0.2,C275&lt;=0.8),D275,"")</f>
        <v/>
      </c>
      <c r="F275" s="5">
        <f>IF(ISNUMBER(E275),A275,"")</f>
        <v/>
      </c>
      <c r="G275" s="5">
        <f>IF(AND(ISNUMBER(E275),ISNUMBER($K$4)),E275-($K$7+$K$4*A275),"")</f>
        <v/>
      </c>
    </row>
    <row r="276">
      <c r="A276" s="4" t="n"/>
      <c r="B276" s="4" t="n"/>
      <c r="C276" s="5">
        <f>IF(AND(ISNUMBER(A276),ISNUMBER(B276),ISNUMBER($K$2),ISNUMBER($K$3),$K$3&gt;$K$2),(B276-$K$2)/($K$3-$K$2),"")</f>
        <v/>
      </c>
      <c r="D276" s="5">
        <f>IF(ISNUMBER(C276),IF(B276&lt;$K$3,LN(($K$3-$K$2)/($K$3-B276)),""),"")</f>
        <v/>
      </c>
      <c r="E276" s="5">
        <f>IF(AND(ISNUMBER(C276),ISNUMBER(D276),C276&gt;=0.2,C276&lt;=0.8),D276,"")</f>
        <v/>
      </c>
      <c r="F276" s="5">
        <f>IF(ISNUMBER(E276),A276,"")</f>
        <v/>
      </c>
      <c r="G276" s="5">
        <f>IF(AND(ISNUMBER(E276),ISNUMBER($K$4)),E276-($K$7+$K$4*A276),"")</f>
        <v/>
      </c>
    </row>
    <row r="277">
      <c r="A277" s="4" t="n"/>
      <c r="B277" s="4" t="n"/>
      <c r="C277" s="5">
        <f>IF(AND(ISNUMBER(A277),ISNUMBER(B277),ISNUMBER($K$2),ISNUMBER($K$3),$K$3&gt;$K$2),(B277-$K$2)/($K$3-$K$2),"")</f>
        <v/>
      </c>
      <c r="D277" s="5">
        <f>IF(ISNUMBER(C277),IF(B277&lt;$K$3,LN(($K$3-$K$2)/($K$3-B277)),""),"")</f>
        <v/>
      </c>
      <c r="E277" s="5">
        <f>IF(AND(ISNUMBER(C277),ISNUMBER(D277),C277&gt;=0.2,C277&lt;=0.8),D277,"")</f>
        <v/>
      </c>
      <c r="F277" s="5">
        <f>IF(ISNUMBER(E277),A277,"")</f>
        <v/>
      </c>
      <c r="G277" s="5">
        <f>IF(AND(ISNUMBER(E277),ISNUMBER($K$4)),E277-($K$7+$K$4*A277),"")</f>
        <v/>
      </c>
    </row>
    <row r="278">
      <c r="A278" s="4" t="n"/>
      <c r="B278" s="4" t="n"/>
      <c r="C278" s="5">
        <f>IF(AND(ISNUMBER(A278),ISNUMBER(B278),ISNUMBER($K$2),ISNUMBER($K$3),$K$3&gt;$K$2),(B278-$K$2)/($K$3-$K$2),"")</f>
        <v/>
      </c>
      <c r="D278" s="5">
        <f>IF(ISNUMBER(C278),IF(B278&lt;$K$3,LN(($K$3-$K$2)/($K$3-B278)),""),"")</f>
        <v/>
      </c>
      <c r="E278" s="5">
        <f>IF(AND(ISNUMBER(C278),ISNUMBER(D278),C278&gt;=0.2,C278&lt;=0.8),D278,"")</f>
        <v/>
      </c>
      <c r="F278" s="5">
        <f>IF(ISNUMBER(E278),A278,"")</f>
        <v/>
      </c>
      <c r="G278" s="5">
        <f>IF(AND(ISNUMBER(E278),ISNUMBER($K$4)),E278-($K$7+$K$4*A278),"")</f>
        <v/>
      </c>
    </row>
    <row r="279">
      <c r="A279" s="4" t="n"/>
      <c r="B279" s="4" t="n"/>
      <c r="C279" s="5">
        <f>IF(AND(ISNUMBER(A279),ISNUMBER(B279),ISNUMBER($K$2),ISNUMBER($K$3),$K$3&gt;$K$2),(B279-$K$2)/($K$3-$K$2),"")</f>
        <v/>
      </c>
      <c r="D279" s="5">
        <f>IF(ISNUMBER(C279),IF(B279&lt;$K$3,LN(($K$3-$K$2)/($K$3-B279)),""),"")</f>
        <v/>
      </c>
      <c r="E279" s="5">
        <f>IF(AND(ISNUMBER(C279),ISNUMBER(D279),C279&gt;=0.2,C279&lt;=0.8),D279,"")</f>
        <v/>
      </c>
      <c r="F279" s="5">
        <f>IF(ISNUMBER(E279),A279,"")</f>
        <v/>
      </c>
      <c r="G279" s="5">
        <f>IF(AND(ISNUMBER(E279),ISNUMBER($K$4)),E279-($K$7+$K$4*A279),"")</f>
        <v/>
      </c>
    </row>
    <row r="280">
      <c r="A280" s="4" t="n"/>
      <c r="B280" s="4" t="n"/>
      <c r="C280" s="5">
        <f>IF(AND(ISNUMBER(A280),ISNUMBER(B280),ISNUMBER($K$2),ISNUMBER($K$3),$K$3&gt;$K$2),(B280-$K$2)/($K$3-$K$2),"")</f>
        <v/>
      </c>
      <c r="D280" s="5">
        <f>IF(ISNUMBER(C280),IF(B280&lt;$K$3,LN(($K$3-$K$2)/($K$3-B280)),""),"")</f>
        <v/>
      </c>
      <c r="E280" s="5">
        <f>IF(AND(ISNUMBER(C280),ISNUMBER(D280),C280&gt;=0.2,C280&lt;=0.8),D280,"")</f>
        <v/>
      </c>
      <c r="F280" s="5">
        <f>IF(ISNUMBER(E280),A280,"")</f>
        <v/>
      </c>
      <c r="G280" s="5">
        <f>IF(AND(ISNUMBER(E280),ISNUMBER($K$4)),E280-($K$7+$K$4*A280),"")</f>
        <v/>
      </c>
    </row>
    <row r="281">
      <c r="A281" s="4" t="n"/>
      <c r="B281" s="4" t="n"/>
      <c r="C281" s="5">
        <f>IF(AND(ISNUMBER(A281),ISNUMBER(B281),ISNUMBER($K$2),ISNUMBER($K$3),$K$3&gt;$K$2),(B281-$K$2)/($K$3-$K$2),"")</f>
        <v/>
      </c>
      <c r="D281" s="5">
        <f>IF(ISNUMBER(C281),IF(B281&lt;$K$3,LN(($K$3-$K$2)/($K$3-B281)),""),"")</f>
        <v/>
      </c>
      <c r="E281" s="5">
        <f>IF(AND(ISNUMBER(C281),ISNUMBER(D281),C281&gt;=0.2,C281&lt;=0.8),D281,"")</f>
        <v/>
      </c>
      <c r="F281" s="5">
        <f>IF(ISNUMBER(E281),A281,"")</f>
        <v/>
      </c>
      <c r="G281" s="5">
        <f>IF(AND(ISNUMBER(E281),ISNUMBER($K$4)),E281-($K$7+$K$4*A281),"")</f>
        <v/>
      </c>
    </row>
    <row r="282">
      <c r="A282" s="4" t="n"/>
      <c r="B282" s="4" t="n"/>
      <c r="C282" s="5">
        <f>IF(AND(ISNUMBER(A282),ISNUMBER(B282),ISNUMBER($K$2),ISNUMBER($K$3),$K$3&gt;$K$2),(B282-$K$2)/($K$3-$K$2),"")</f>
        <v/>
      </c>
      <c r="D282" s="5">
        <f>IF(ISNUMBER(C282),IF(B282&lt;$K$3,LN(($K$3-$K$2)/($K$3-B282)),""),"")</f>
        <v/>
      </c>
      <c r="E282" s="5">
        <f>IF(AND(ISNUMBER(C282),ISNUMBER(D282),C282&gt;=0.2,C282&lt;=0.8),D282,"")</f>
        <v/>
      </c>
      <c r="F282" s="5">
        <f>IF(ISNUMBER(E282),A282,"")</f>
        <v/>
      </c>
      <c r="G282" s="5">
        <f>IF(AND(ISNUMBER(E282),ISNUMBER($K$4)),E282-($K$7+$K$4*A282),"")</f>
        <v/>
      </c>
    </row>
    <row r="283">
      <c r="A283" s="4" t="n"/>
      <c r="B283" s="4" t="n"/>
      <c r="C283" s="5">
        <f>IF(AND(ISNUMBER(A283),ISNUMBER(B283),ISNUMBER($K$2),ISNUMBER($K$3),$K$3&gt;$K$2),(B283-$K$2)/($K$3-$K$2),"")</f>
        <v/>
      </c>
      <c r="D283" s="5">
        <f>IF(ISNUMBER(C283),IF(B283&lt;$K$3,LN(($K$3-$K$2)/($K$3-B283)),""),"")</f>
        <v/>
      </c>
      <c r="E283" s="5">
        <f>IF(AND(ISNUMBER(C283),ISNUMBER(D283),C283&gt;=0.2,C283&lt;=0.8),D283,"")</f>
        <v/>
      </c>
      <c r="F283" s="5">
        <f>IF(ISNUMBER(E283),A283,"")</f>
        <v/>
      </c>
      <c r="G283" s="5">
        <f>IF(AND(ISNUMBER(E283),ISNUMBER($K$4)),E283-($K$7+$K$4*A283),"")</f>
        <v/>
      </c>
    </row>
    <row r="284">
      <c r="A284" s="4" t="n"/>
      <c r="B284" s="4" t="n"/>
      <c r="C284" s="5">
        <f>IF(AND(ISNUMBER(A284),ISNUMBER(B284),ISNUMBER($K$2),ISNUMBER($K$3),$K$3&gt;$K$2),(B284-$K$2)/($K$3-$K$2),"")</f>
        <v/>
      </c>
      <c r="D284" s="5">
        <f>IF(ISNUMBER(C284),IF(B284&lt;$K$3,LN(($K$3-$K$2)/($K$3-B284)),""),"")</f>
        <v/>
      </c>
      <c r="E284" s="5">
        <f>IF(AND(ISNUMBER(C284),ISNUMBER(D284),C284&gt;=0.2,C284&lt;=0.8),D284,"")</f>
        <v/>
      </c>
      <c r="F284" s="5">
        <f>IF(ISNUMBER(E284),A284,"")</f>
        <v/>
      </c>
      <c r="G284" s="5">
        <f>IF(AND(ISNUMBER(E284),ISNUMBER($K$4)),E284-($K$7+$K$4*A284),"")</f>
        <v/>
      </c>
    </row>
    <row r="285">
      <c r="A285" s="4" t="n"/>
      <c r="B285" s="4" t="n"/>
      <c r="C285" s="5">
        <f>IF(AND(ISNUMBER(A285),ISNUMBER(B285),ISNUMBER($K$2),ISNUMBER($K$3),$K$3&gt;$K$2),(B285-$K$2)/($K$3-$K$2),"")</f>
        <v/>
      </c>
      <c r="D285" s="5">
        <f>IF(ISNUMBER(C285),IF(B285&lt;$K$3,LN(($K$3-$K$2)/($K$3-B285)),""),"")</f>
        <v/>
      </c>
      <c r="E285" s="5">
        <f>IF(AND(ISNUMBER(C285),ISNUMBER(D285),C285&gt;=0.2,C285&lt;=0.8),D285,"")</f>
        <v/>
      </c>
      <c r="F285" s="5">
        <f>IF(ISNUMBER(E285),A285,"")</f>
        <v/>
      </c>
      <c r="G285" s="5">
        <f>IF(AND(ISNUMBER(E285),ISNUMBER($K$4)),E285-($K$7+$K$4*A285),"")</f>
        <v/>
      </c>
    </row>
    <row r="286">
      <c r="A286" s="4" t="n"/>
      <c r="B286" s="4" t="n"/>
      <c r="C286" s="5">
        <f>IF(AND(ISNUMBER(A286),ISNUMBER(B286),ISNUMBER($K$2),ISNUMBER($K$3),$K$3&gt;$K$2),(B286-$K$2)/($K$3-$K$2),"")</f>
        <v/>
      </c>
      <c r="D286" s="5">
        <f>IF(ISNUMBER(C286),IF(B286&lt;$K$3,LN(($K$3-$K$2)/($K$3-B286)),""),"")</f>
        <v/>
      </c>
      <c r="E286" s="5">
        <f>IF(AND(ISNUMBER(C286),ISNUMBER(D286),C286&gt;=0.2,C286&lt;=0.8),D286,"")</f>
        <v/>
      </c>
      <c r="F286" s="5">
        <f>IF(ISNUMBER(E286),A286,"")</f>
        <v/>
      </c>
      <c r="G286" s="5">
        <f>IF(AND(ISNUMBER(E286),ISNUMBER($K$4)),E286-($K$7+$K$4*A286),"")</f>
        <v/>
      </c>
    </row>
    <row r="287">
      <c r="A287" s="4" t="n"/>
      <c r="B287" s="4" t="n"/>
      <c r="C287" s="5">
        <f>IF(AND(ISNUMBER(A287),ISNUMBER(B287),ISNUMBER($K$2),ISNUMBER($K$3),$K$3&gt;$K$2),(B287-$K$2)/($K$3-$K$2),"")</f>
        <v/>
      </c>
      <c r="D287" s="5">
        <f>IF(ISNUMBER(C287),IF(B287&lt;$K$3,LN(($K$3-$K$2)/($K$3-B287)),""),"")</f>
        <v/>
      </c>
      <c r="E287" s="5">
        <f>IF(AND(ISNUMBER(C287),ISNUMBER(D287),C287&gt;=0.2,C287&lt;=0.8),D287,"")</f>
        <v/>
      </c>
      <c r="F287" s="5">
        <f>IF(ISNUMBER(E287),A287,"")</f>
        <v/>
      </c>
      <c r="G287" s="5">
        <f>IF(AND(ISNUMBER(E287),ISNUMBER($K$4)),E287-($K$7+$K$4*A287),"")</f>
        <v/>
      </c>
    </row>
    <row r="288">
      <c r="A288" s="4" t="n"/>
      <c r="B288" s="4" t="n"/>
      <c r="C288" s="5">
        <f>IF(AND(ISNUMBER(A288),ISNUMBER(B288),ISNUMBER($K$2),ISNUMBER($K$3),$K$3&gt;$K$2),(B288-$K$2)/($K$3-$K$2),"")</f>
        <v/>
      </c>
      <c r="D288" s="5">
        <f>IF(ISNUMBER(C288),IF(B288&lt;$K$3,LN(($K$3-$K$2)/($K$3-B288)),""),"")</f>
        <v/>
      </c>
      <c r="E288" s="5">
        <f>IF(AND(ISNUMBER(C288),ISNUMBER(D288),C288&gt;=0.2,C288&lt;=0.8),D288,"")</f>
        <v/>
      </c>
      <c r="F288" s="5">
        <f>IF(ISNUMBER(E288),A288,"")</f>
        <v/>
      </c>
      <c r="G288" s="5">
        <f>IF(AND(ISNUMBER(E288),ISNUMBER($K$4)),E288-($K$7+$K$4*A288),"")</f>
        <v/>
      </c>
    </row>
    <row r="289">
      <c r="A289" s="4" t="n"/>
      <c r="B289" s="4" t="n"/>
      <c r="C289" s="5">
        <f>IF(AND(ISNUMBER(A289),ISNUMBER(B289),ISNUMBER($K$2),ISNUMBER($K$3),$K$3&gt;$K$2),(B289-$K$2)/($K$3-$K$2),"")</f>
        <v/>
      </c>
      <c r="D289" s="5">
        <f>IF(ISNUMBER(C289),IF(B289&lt;$K$3,LN(($K$3-$K$2)/($K$3-B289)),""),"")</f>
        <v/>
      </c>
      <c r="E289" s="5">
        <f>IF(AND(ISNUMBER(C289),ISNUMBER(D289),C289&gt;=0.2,C289&lt;=0.8),D289,"")</f>
        <v/>
      </c>
      <c r="F289" s="5">
        <f>IF(ISNUMBER(E289),A289,"")</f>
        <v/>
      </c>
      <c r="G289" s="5">
        <f>IF(AND(ISNUMBER(E289),ISNUMBER($K$4)),E289-($K$7+$K$4*A289),"")</f>
        <v/>
      </c>
    </row>
    <row r="290">
      <c r="A290" s="4" t="n"/>
      <c r="B290" s="4" t="n"/>
      <c r="C290" s="5">
        <f>IF(AND(ISNUMBER(A290),ISNUMBER(B290),ISNUMBER($K$2),ISNUMBER($K$3),$K$3&gt;$K$2),(B290-$K$2)/($K$3-$K$2),"")</f>
        <v/>
      </c>
      <c r="D290" s="5">
        <f>IF(ISNUMBER(C290),IF(B290&lt;$K$3,LN(($K$3-$K$2)/($K$3-B290)),""),"")</f>
        <v/>
      </c>
      <c r="E290" s="5">
        <f>IF(AND(ISNUMBER(C290),ISNUMBER(D290),C290&gt;=0.2,C290&lt;=0.8),D290,"")</f>
        <v/>
      </c>
      <c r="F290" s="5">
        <f>IF(ISNUMBER(E290),A290,"")</f>
        <v/>
      </c>
      <c r="G290" s="5">
        <f>IF(AND(ISNUMBER(E290),ISNUMBER($K$4)),E290-($K$7+$K$4*A290),"")</f>
        <v/>
      </c>
    </row>
    <row r="291">
      <c r="A291" s="4" t="n"/>
      <c r="B291" s="4" t="n"/>
      <c r="C291" s="5">
        <f>IF(AND(ISNUMBER(A291),ISNUMBER(B291),ISNUMBER($K$2),ISNUMBER($K$3),$K$3&gt;$K$2),(B291-$K$2)/($K$3-$K$2),"")</f>
        <v/>
      </c>
      <c r="D291" s="5">
        <f>IF(ISNUMBER(C291),IF(B291&lt;$K$3,LN(($K$3-$K$2)/($K$3-B291)),""),"")</f>
        <v/>
      </c>
      <c r="E291" s="5">
        <f>IF(AND(ISNUMBER(C291),ISNUMBER(D291),C291&gt;=0.2,C291&lt;=0.8),D291,"")</f>
        <v/>
      </c>
      <c r="F291" s="5">
        <f>IF(ISNUMBER(E291),A291,"")</f>
        <v/>
      </c>
      <c r="G291" s="5">
        <f>IF(AND(ISNUMBER(E291),ISNUMBER($K$4)),E291-($K$7+$K$4*A291),"")</f>
        <v/>
      </c>
    </row>
    <row r="292">
      <c r="A292" s="4" t="n"/>
      <c r="B292" s="4" t="n"/>
      <c r="C292" s="5">
        <f>IF(AND(ISNUMBER(A292),ISNUMBER(B292),ISNUMBER($K$2),ISNUMBER($K$3),$K$3&gt;$K$2),(B292-$K$2)/($K$3-$K$2),"")</f>
        <v/>
      </c>
      <c r="D292" s="5">
        <f>IF(ISNUMBER(C292),IF(B292&lt;$K$3,LN(($K$3-$K$2)/($K$3-B292)),""),"")</f>
        <v/>
      </c>
      <c r="E292" s="5">
        <f>IF(AND(ISNUMBER(C292),ISNUMBER(D292),C292&gt;=0.2,C292&lt;=0.8),D292,"")</f>
        <v/>
      </c>
      <c r="F292" s="5">
        <f>IF(ISNUMBER(E292),A292,"")</f>
        <v/>
      </c>
      <c r="G292" s="5">
        <f>IF(AND(ISNUMBER(E292),ISNUMBER($K$4)),E292-($K$7+$K$4*A292),"")</f>
        <v/>
      </c>
    </row>
    <row r="293">
      <c r="A293" s="4" t="n"/>
      <c r="B293" s="4" t="n"/>
      <c r="C293" s="5">
        <f>IF(AND(ISNUMBER(A293),ISNUMBER(B293),ISNUMBER($K$2),ISNUMBER($K$3),$K$3&gt;$K$2),(B293-$K$2)/($K$3-$K$2),"")</f>
        <v/>
      </c>
      <c r="D293" s="5">
        <f>IF(ISNUMBER(C293),IF(B293&lt;$K$3,LN(($K$3-$K$2)/($K$3-B293)),""),"")</f>
        <v/>
      </c>
      <c r="E293" s="5">
        <f>IF(AND(ISNUMBER(C293),ISNUMBER(D293),C293&gt;=0.2,C293&lt;=0.8),D293,"")</f>
        <v/>
      </c>
      <c r="F293" s="5">
        <f>IF(ISNUMBER(E293),A293,"")</f>
        <v/>
      </c>
      <c r="G293" s="5">
        <f>IF(AND(ISNUMBER(E293),ISNUMBER($K$4)),E293-($K$7+$K$4*A293),"")</f>
        <v/>
      </c>
    </row>
    <row r="294">
      <c r="A294" s="4" t="n"/>
      <c r="B294" s="4" t="n"/>
      <c r="C294" s="5">
        <f>IF(AND(ISNUMBER(A294),ISNUMBER(B294),ISNUMBER($K$2),ISNUMBER($K$3),$K$3&gt;$K$2),(B294-$K$2)/($K$3-$K$2),"")</f>
        <v/>
      </c>
      <c r="D294" s="5">
        <f>IF(ISNUMBER(C294),IF(B294&lt;$K$3,LN(($K$3-$K$2)/($K$3-B294)),""),"")</f>
        <v/>
      </c>
      <c r="E294" s="5">
        <f>IF(AND(ISNUMBER(C294),ISNUMBER(D294),C294&gt;=0.2,C294&lt;=0.8),D294,"")</f>
        <v/>
      </c>
      <c r="F294" s="5">
        <f>IF(ISNUMBER(E294),A294,"")</f>
        <v/>
      </c>
      <c r="G294" s="5">
        <f>IF(AND(ISNUMBER(E294),ISNUMBER($K$4)),E294-($K$7+$K$4*A294),"")</f>
        <v/>
      </c>
    </row>
    <row r="295">
      <c r="A295" s="4" t="n"/>
      <c r="B295" s="4" t="n"/>
      <c r="C295" s="5">
        <f>IF(AND(ISNUMBER(A295),ISNUMBER(B295),ISNUMBER($K$2),ISNUMBER($K$3),$K$3&gt;$K$2),(B295-$K$2)/($K$3-$K$2),"")</f>
        <v/>
      </c>
      <c r="D295" s="5">
        <f>IF(ISNUMBER(C295),IF(B295&lt;$K$3,LN(($K$3-$K$2)/($K$3-B295)),""),"")</f>
        <v/>
      </c>
      <c r="E295" s="5">
        <f>IF(AND(ISNUMBER(C295),ISNUMBER(D295),C295&gt;=0.2,C295&lt;=0.8),D295,"")</f>
        <v/>
      </c>
      <c r="F295" s="5">
        <f>IF(ISNUMBER(E295),A295,"")</f>
        <v/>
      </c>
      <c r="G295" s="5">
        <f>IF(AND(ISNUMBER(E295),ISNUMBER($K$4)),E295-($K$7+$K$4*A295),"")</f>
        <v/>
      </c>
    </row>
    <row r="296">
      <c r="A296" s="4" t="n"/>
      <c r="B296" s="4" t="n"/>
      <c r="C296" s="5">
        <f>IF(AND(ISNUMBER(A296),ISNUMBER(B296),ISNUMBER($K$2),ISNUMBER($K$3),$K$3&gt;$K$2),(B296-$K$2)/($K$3-$K$2),"")</f>
        <v/>
      </c>
      <c r="D296" s="5">
        <f>IF(ISNUMBER(C296),IF(B296&lt;$K$3,LN(($K$3-$K$2)/($K$3-B296)),""),"")</f>
        <v/>
      </c>
      <c r="E296" s="5">
        <f>IF(AND(ISNUMBER(C296),ISNUMBER(D296),C296&gt;=0.2,C296&lt;=0.8),D296,"")</f>
        <v/>
      </c>
      <c r="F296" s="5">
        <f>IF(ISNUMBER(E296),A296,"")</f>
        <v/>
      </c>
      <c r="G296" s="5">
        <f>IF(AND(ISNUMBER(E296),ISNUMBER($K$4)),E296-($K$7+$K$4*A296),"")</f>
        <v/>
      </c>
    </row>
    <row r="297">
      <c r="A297" s="4" t="n"/>
      <c r="B297" s="4" t="n"/>
      <c r="C297" s="5">
        <f>IF(AND(ISNUMBER(A297),ISNUMBER(B297),ISNUMBER($K$2),ISNUMBER($K$3),$K$3&gt;$K$2),(B297-$K$2)/($K$3-$K$2),"")</f>
        <v/>
      </c>
      <c r="D297" s="5">
        <f>IF(ISNUMBER(C297),IF(B297&lt;$K$3,LN(($K$3-$K$2)/($K$3-B297)),""),"")</f>
        <v/>
      </c>
      <c r="E297" s="5">
        <f>IF(AND(ISNUMBER(C297),ISNUMBER(D297),C297&gt;=0.2,C297&lt;=0.8),D297,"")</f>
        <v/>
      </c>
      <c r="F297" s="5">
        <f>IF(ISNUMBER(E297),A297,"")</f>
        <v/>
      </c>
      <c r="G297" s="5">
        <f>IF(AND(ISNUMBER(E297),ISNUMBER($K$4)),E297-($K$7+$K$4*A297),"")</f>
        <v/>
      </c>
    </row>
    <row r="298">
      <c r="A298" s="4" t="n"/>
      <c r="B298" s="4" t="n"/>
      <c r="C298" s="5">
        <f>IF(AND(ISNUMBER(A298),ISNUMBER(B298),ISNUMBER($K$2),ISNUMBER($K$3),$K$3&gt;$K$2),(B298-$K$2)/($K$3-$K$2),"")</f>
        <v/>
      </c>
      <c r="D298" s="5">
        <f>IF(ISNUMBER(C298),IF(B298&lt;$K$3,LN(($K$3-$K$2)/($K$3-B298)),""),"")</f>
        <v/>
      </c>
      <c r="E298" s="5">
        <f>IF(AND(ISNUMBER(C298),ISNUMBER(D298),C298&gt;=0.2,C298&lt;=0.8),D298,"")</f>
        <v/>
      </c>
      <c r="F298" s="5">
        <f>IF(ISNUMBER(E298),A298,"")</f>
        <v/>
      </c>
      <c r="G298" s="5">
        <f>IF(AND(ISNUMBER(E298),ISNUMBER($K$4)),E298-($K$7+$K$4*A298),"")</f>
        <v/>
      </c>
    </row>
    <row r="299">
      <c r="A299" s="4" t="n"/>
      <c r="B299" s="4" t="n"/>
      <c r="C299" s="5">
        <f>IF(AND(ISNUMBER(A299),ISNUMBER(B299),ISNUMBER($K$2),ISNUMBER($K$3),$K$3&gt;$K$2),(B299-$K$2)/($K$3-$K$2),"")</f>
        <v/>
      </c>
      <c r="D299" s="5">
        <f>IF(ISNUMBER(C299),IF(B299&lt;$K$3,LN(($K$3-$K$2)/($K$3-B299)),""),"")</f>
        <v/>
      </c>
      <c r="E299" s="5">
        <f>IF(AND(ISNUMBER(C299),ISNUMBER(D299),C299&gt;=0.2,C299&lt;=0.8),D299,"")</f>
        <v/>
      </c>
      <c r="F299" s="5">
        <f>IF(ISNUMBER(E299),A299,"")</f>
        <v/>
      </c>
      <c r="G299" s="5">
        <f>IF(AND(ISNUMBER(E299),ISNUMBER($K$4)),E299-($K$7+$K$4*A299),"")</f>
        <v/>
      </c>
    </row>
    <row r="300">
      <c r="A300" s="4" t="n"/>
      <c r="B300" s="4" t="n"/>
      <c r="C300" s="5">
        <f>IF(AND(ISNUMBER(A300),ISNUMBER(B300),ISNUMBER($K$2),ISNUMBER($K$3),$K$3&gt;$K$2),(B300-$K$2)/($K$3-$K$2),"")</f>
        <v/>
      </c>
      <c r="D300" s="5">
        <f>IF(ISNUMBER(C300),IF(B300&lt;$K$3,LN(($K$3-$K$2)/($K$3-B300)),""),"")</f>
        <v/>
      </c>
      <c r="E300" s="5">
        <f>IF(AND(ISNUMBER(C300),ISNUMBER(D300),C300&gt;=0.2,C300&lt;=0.8),D300,"")</f>
        <v/>
      </c>
      <c r="F300" s="5">
        <f>IF(ISNUMBER(E300),A300,"")</f>
        <v/>
      </c>
      <c r="G300" s="5">
        <f>IF(AND(ISNUMBER(E300),ISNUMBER($K$4)),E300-($K$7+$K$4*A300),"")</f>
        <v/>
      </c>
    </row>
    <row r="301">
      <c r="A301" s="4" t="n"/>
      <c r="B301" s="4" t="n"/>
      <c r="C301" s="5">
        <f>IF(AND(ISNUMBER(A301),ISNUMBER(B301),ISNUMBER($K$2),ISNUMBER($K$3),$K$3&gt;$K$2),(B301-$K$2)/($K$3-$K$2),"")</f>
        <v/>
      </c>
      <c r="D301" s="5">
        <f>IF(ISNUMBER(C301),IF(B301&lt;$K$3,LN(($K$3-$K$2)/($K$3-B301)),""),"")</f>
        <v/>
      </c>
      <c r="E301" s="5">
        <f>IF(AND(ISNUMBER(C301),ISNUMBER(D301),C301&gt;=0.2,C301&lt;=0.8),D301,"")</f>
        <v/>
      </c>
      <c r="F301" s="5">
        <f>IF(ISNUMBER(E301),A301,"")</f>
        <v/>
      </c>
      <c r="G301" s="5">
        <f>IF(AND(ISNUMBER(E301),ISNUMBER($K$4)),E301-($K$7+$K$4*A301),"")</f>
        <v/>
      </c>
    </row>
    <row r="302">
      <c r="A302" s="4" t="n"/>
      <c r="B302" s="4" t="n"/>
      <c r="C302" s="5">
        <f>IF(AND(ISNUMBER(A302),ISNUMBER(B302),ISNUMBER($K$2),ISNUMBER($K$3),$K$3&gt;$K$2),(B302-$K$2)/($K$3-$K$2),"")</f>
        <v/>
      </c>
      <c r="D302" s="5">
        <f>IF(ISNUMBER(C302),IF(B302&lt;$K$3,LN(($K$3-$K$2)/($K$3-B302)),""),"")</f>
        <v/>
      </c>
      <c r="E302" s="5">
        <f>IF(AND(ISNUMBER(C302),ISNUMBER(D302),C302&gt;=0.2,C302&lt;=0.8),D302,"")</f>
        <v/>
      </c>
      <c r="F302" s="5">
        <f>IF(ISNUMBER(E302),A302,"")</f>
        <v/>
      </c>
      <c r="G302" s="5">
        <f>IF(AND(ISNUMBER(E302),ISNUMBER($K$4)),E302-($K$7+$K$4*A302),"")</f>
        <v/>
      </c>
    </row>
    <row r="303">
      <c r="A303" s="4" t="n"/>
      <c r="B303" s="4" t="n"/>
      <c r="C303" s="5">
        <f>IF(AND(ISNUMBER(A303),ISNUMBER(B303),ISNUMBER($K$2),ISNUMBER($K$3),$K$3&gt;$K$2),(B303-$K$2)/($K$3-$K$2),"")</f>
        <v/>
      </c>
      <c r="D303" s="5">
        <f>IF(ISNUMBER(C303),IF(B303&lt;$K$3,LN(($K$3-$K$2)/($K$3-B303)),""),"")</f>
        <v/>
      </c>
      <c r="E303" s="5">
        <f>IF(AND(ISNUMBER(C303),ISNUMBER(D303),C303&gt;=0.2,C303&lt;=0.8),D303,"")</f>
        <v/>
      </c>
      <c r="F303" s="5">
        <f>IF(ISNUMBER(E303),A303,"")</f>
        <v/>
      </c>
      <c r="G303" s="5">
        <f>IF(AND(ISNUMBER(E303),ISNUMBER($K$4)),E303-($K$7+$K$4*A303),"")</f>
        <v/>
      </c>
    </row>
    <row r="304">
      <c r="A304" s="4" t="n"/>
      <c r="B304" s="4" t="n"/>
      <c r="C304" s="5">
        <f>IF(AND(ISNUMBER(A304),ISNUMBER(B304),ISNUMBER($K$2),ISNUMBER($K$3),$K$3&gt;$K$2),(B304-$K$2)/($K$3-$K$2),"")</f>
        <v/>
      </c>
      <c r="D304" s="5">
        <f>IF(ISNUMBER(C304),IF(B304&lt;$K$3,LN(($K$3-$K$2)/($K$3-B304)),""),"")</f>
        <v/>
      </c>
      <c r="E304" s="5">
        <f>IF(AND(ISNUMBER(C304),ISNUMBER(D304),C304&gt;=0.2,C304&lt;=0.8),D304,"")</f>
        <v/>
      </c>
      <c r="F304" s="5">
        <f>IF(ISNUMBER(E304),A304,"")</f>
        <v/>
      </c>
      <c r="G304" s="5">
        <f>IF(AND(ISNUMBER(E304),ISNUMBER($K$4)),E304-($K$7+$K$4*A304),"")</f>
        <v/>
      </c>
    </row>
    <row r="305">
      <c r="A305" s="4" t="n"/>
      <c r="B305" s="4" t="n"/>
      <c r="C305" s="5">
        <f>IF(AND(ISNUMBER(A305),ISNUMBER(B305),ISNUMBER($K$2),ISNUMBER($K$3),$K$3&gt;$K$2),(B305-$K$2)/($K$3-$K$2),"")</f>
        <v/>
      </c>
      <c r="D305" s="5">
        <f>IF(ISNUMBER(C305),IF(B305&lt;$K$3,LN(($K$3-$K$2)/($K$3-B305)),""),"")</f>
        <v/>
      </c>
      <c r="E305" s="5">
        <f>IF(AND(ISNUMBER(C305),ISNUMBER(D305),C305&gt;=0.2,C305&lt;=0.8),D305,"")</f>
        <v/>
      </c>
      <c r="F305" s="5">
        <f>IF(ISNUMBER(E305),A305,"")</f>
        <v/>
      </c>
      <c r="G305" s="5">
        <f>IF(AND(ISNUMBER(E305),ISNUMBER($K$4)),E305-($K$7+$K$4*A305),"")</f>
        <v/>
      </c>
    </row>
    <row r="306">
      <c r="A306" s="4" t="n"/>
      <c r="B306" s="4" t="n"/>
      <c r="C306" s="5">
        <f>IF(AND(ISNUMBER(A306),ISNUMBER(B306),ISNUMBER($K$2),ISNUMBER($K$3),$K$3&gt;$K$2),(B306-$K$2)/($K$3-$K$2),"")</f>
        <v/>
      </c>
      <c r="D306" s="5">
        <f>IF(ISNUMBER(C306),IF(B306&lt;$K$3,LN(($K$3-$K$2)/($K$3-B306)),""),"")</f>
        <v/>
      </c>
      <c r="E306" s="5">
        <f>IF(AND(ISNUMBER(C306),ISNUMBER(D306),C306&gt;=0.2,C306&lt;=0.8),D306,"")</f>
        <v/>
      </c>
      <c r="F306" s="5">
        <f>IF(ISNUMBER(E306),A306,"")</f>
        <v/>
      </c>
      <c r="G306" s="5">
        <f>IF(AND(ISNUMBER(E306),ISNUMBER($K$4)),E306-($K$7+$K$4*A306),"")</f>
        <v/>
      </c>
    </row>
    <row r="307">
      <c r="A307" s="4" t="n"/>
      <c r="B307" s="4" t="n"/>
      <c r="C307" s="5">
        <f>IF(AND(ISNUMBER(A307),ISNUMBER(B307),ISNUMBER($K$2),ISNUMBER($K$3),$K$3&gt;$K$2),(B307-$K$2)/($K$3-$K$2),"")</f>
        <v/>
      </c>
      <c r="D307" s="5">
        <f>IF(ISNUMBER(C307),IF(B307&lt;$K$3,LN(($K$3-$K$2)/($K$3-B307)),""),"")</f>
        <v/>
      </c>
      <c r="E307" s="5">
        <f>IF(AND(ISNUMBER(C307),ISNUMBER(D307),C307&gt;=0.2,C307&lt;=0.8),D307,"")</f>
        <v/>
      </c>
      <c r="F307" s="5">
        <f>IF(ISNUMBER(E307),A307,"")</f>
        <v/>
      </c>
      <c r="G307" s="5">
        <f>IF(AND(ISNUMBER(E307),ISNUMBER($K$4)),E307-($K$7+$K$4*A307),"")</f>
        <v/>
      </c>
    </row>
    <row r="308">
      <c r="A308" s="4" t="n"/>
      <c r="B308" s="4" t="n"/>
      <c r="C308" s="5">
        <f>IF(AND(ISNUMBER(A308),ISNUMBER(B308),ISNUMBER($K$2),ISNUMBER($K$3),$K$3&gt;$K$2),(B308-$K$2)/($K$3-$K$2),"")</f>
        <v/>
      </c>
      <c r="D308" s="5">
        <f>IF(ISNUMBER(C308),IF(B308&lt;$K$3,LN(($K$3-$K$2)/($K$3-B308)),""),"")</f>
        <v/>
      </c>
      <c r="E308" s="5">
        <f>IF(AND(ISNUMBER(C308),ISNUMBER(D308),C308&gt;=0.2,C308&lt;=0.8),D308,"")</f>
        <v/>
      </c>
      <c r="F308" s="5">
        <f>IF(ISNUMBER(E308),A308,"")</f>
        <v/>
      </c>
      <c r="G308" s="5">
        <f>IF(AND(ISNUMBER(E308),ISNUMBER($K$4)),E308-($K$7+$K$4*A308),"")</f>
        <v/>
      </c>
    </row>
  </sheetData>
  <autoFilter ref="A8:G308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4" customWidth="1" min="10" max="10"/>
    <col width="18" customWidth="1" min="11" max="11"/>
  </cols>
  <sheetData>
    <row r="1">
      <c r="A1" t="inlineStr">
        <is>
          <t>Reoxigenación a 600 rpm</t>
        </is>
      </c>
      <c r="J1" t="inlineStr">
        <is>
          <t>RPM</t>
        </is>
      </c>
      <c r="K1" t="n">
        <v>600</v>
      </c>
    </row>
    <row r="2">
      <c r="A2" t="inlineStr">
        <is>
          <t>Volumen: 30 L de agua</t>
        </is>
      </c>
      <c r="J2" t="inlineStr">
        <is>
          <t>y₀ (entrada)</t>
        </is>
      </c>
      <c r="K2" s="4" t="n"/>
    </row>
    <row r="3">
      <c r="A3" t="inlineStr">
        <is>
          <t>Aire: 15 L/min = 0.5 vvm</t>
        </is>
      </c>
      <c r="J3" t="inlineStr">
        <is>
          <t>y∞ (entrada)</t>
        </is>
      </c>
      <c r="K3" s="4" t="n"/>
    </row>
    <row r="4">
      <c r="A4" t="inlineStr">
        <is>
          <t>Archivo / equipo:</t>
        </is>
      </c>
      <c r="B4" s="4" t="n"/>
      <c r="J4" t="inlineStr">
        <is>
          <t>Pendiente [s⁻¹]</t>
        </is>
      </c>
      <c r="K4">
        <f>IF(AND(K8&gt;=3,ISNUMBER(K2),ISNUMBER(K3),K3&gt;K2),IFERROR(SLOPE(E9:E308,F9:F308),""),"")</f>
        <v/>
      </c>
    </row>
    <row r="5">
      <c r="A5" t="inlineStr">
        <is>
          <t>Temperatura [°C]:</t>
        </is>
      </c>
      <c r="B5" s="4" t="n"/>
      <c r="J5" t="inlineStr">
        <is>
          <t>kLa [h⁻¹]</t>
        </is>
      </c>
      <c r="K5">
        <f>IF(ISNUMBER(K4),K4*3600,"")</f>
        <v/>
      </c>
    </row>
    <row r="6">
      <c r="A6" t="inlineStr">
        <is>
          <t>Intervalos de mesetas:</t>
        </is>
      </c>
      <c r="B6" s="4" t="n"/>
      <c r="J6" t="inlineStr">
        <is>
          <t>R²</t>
        </is>
      </c>
      <c r="K6">
        <f>IF(ISNUMBER(K4),IFERROR(RSQ(E9:E308,F9:F308),""),"")</f>
        <v/>
      </c>
    </row>
    <row r="7">
      <c r="J7" t="inlineStr">
        <is>
          <t>Intercepto</t>
        </is>
      </c>
      <c r="K7">
        <f>IF(ISNUMBER(K4),IFERROR(INTERCEPT(E9:E308,F9:F308),""),"")</f>
        <v/>
      </c>
    </row>
    <row r="8">
      <c r="A8" s="1" t="inlineStr">
        <is>
          <t>Tiempo [s]</t>
        </is>
      </c>
      <c r="B8" s="1" t="inlineStr">
        <is>
          <t>Oxígeno [%]</t>
        </is>
      </c>
      <c r="C8" s="1" t="inlineStr">
        <is>
          <t>Recorrido r</t>
        </is>
      </c>
      <c r="D8" s="1" t="inlineStr">
        <is>
          <t>Y</t>
        </is>
      </c>
      <c r="E8" s="1" t="inlineStr">
        <is>
          <t>Y seleccionado</t>
        </is>
      </c>
      <c r="F8" s="1" t="inlineStr">
        <is>
          <t>t seleccionado</t>
        </is>
      </c>
      <c r="G8" s="1" t="inlineStr">
        <is>
          <t>Residuo</t>
        </is>
      </c>
      <c r="J8" s="1" t="inlineStr">
        <is>
          <t>Puntos de ajuste</t>
        </is>
      </c>
      <c r="K8" s="1">
        <f>COUNT(E9:E308)</f>
        <v/>
      </c>
    </row>
    <row r="9">
      <c r="A9" s="4" t="n"/>
      <c r="B9" s="4" t="n"/>
      <c r="C9" s="5">
        <f>IF(AND(ISNUMBER(A9),ISNUMBER(B9),ISNUMBER($K$2),ISNUMBER($K$3),$K$3&gt;$K$2),(B9-$K$2)/($K$3-$K$2),"")</f>
        <v/>
      </c>
      <c r="D9" s="5">
        <f>IF(ISNUMBER(C9),IF(B9&lt;$K$3,LN(($K$3-$K$2)/($K$3-B9)),""),"")</f>
        <v/>
      </c>
      <c r="E9" s="5">
        <f>IF(AND(ISNUMBER(C9),ISNUMBER(D9),C9&gt;=0.2,C9&lt;=0.8),D9,"")</f>
        <v/>
      </c>
      <c r="F9" s="5">
        <f>IF(ISNUMBER(E9),A9,"")</f>
        <v/>
      </c>
      <c r="G9" s="5">
        <f>IF(AND(ISNUMBER(E9),ISNUMBER($K$4)),E9-($K$7+$K$4*A9),"")</f>
        <v/>
      </c>
    </row>
    <row r="10">
      <c r="A10" s="4" t="n"/>
      <c r="B10" s="4" t="n"/>
      <c r="C10" s="5">
        <f>IF(AND(ISNUMBER(A10),ISNUMBER(B10),ISNUMBER($K$2),ISNUMBER($K$3),$K$3&gt;$K$2),(B10-$K$2)/($K$3-$K$2),"")</f>
        <v/>
      </c>
      <c r="D10" s="5">
        <f>IF(ISNUMBER(C10),IF(B10&lt;$K$3,LN(($K$3-$K$2)/($K$3-B10)),""),"")</f>
        <v/>
      </c>
      <c r="E10" s="5">
        <f>IF(AND(ISNUMBER(C10),ISNUMBER(D10),C10&gt;=0.2,C10&lt;=0.8),D10,"")</f>
        <v/>
      </c>
      <c r="F10" s="5">
        <f>IF(ISNUMBER(E10),A10,"")</f>
        <v/>
      </c>
      <c r="G10" s="5">
        <f>IF(AND(ISNUMBER(E10),ISNUMBER($K$4)),E10-($K$7+$K$4*A10),"")</f>
        <v/>
      </c>
    </row>
    <row r="11">
      <c r="A11" s="4" t="n"/>
      <c r="B11" s="4" t="n"/>
      <c r="C11" s="5">
        <f>IF(AND(ISNUMBER(A11),ISNUMBER(B11),ISNUMBER($K$2),ISNUMBER($K$3),$K$3&gt;$K$2),(B11-$K$2)/($K$3-$K$2),"")</f>
        <v/>
      </c>
      <c r="D11" s="5">
        <f>IF(ISNUMBER(C11),IF(B11&lt;$K$3,LN(($K$3-$K$2)/($K$3-B11)),""),"")</f>
        <v/>
      </c>
      <c r="E11" s="5">
        <f>IF(AND(ISNUMBER(C11),ISNUMBER(D11),C11&gt;=0.2,C11&lt;=0.8),D11,"")</f>
        <v/>
      </c>
      <c r="F11" s="5">
        <f>IF(ISNUMBER(E11),A11,"")</f>
        <v/>
      </c>
      <c r="G11" s="5">
        <f>IF(AND(ISNUMBER(E11),ISNUMBER($K$4)),E11-($K$7+$K$4*A11),"")</f>
        <v/>
      </c>
    </row>
    <row r="12">
      <c r="A12" s="4" t="n"/>
      <c r="B12" s="4" t="n"/>
      <c r="C12" s="5">
        <f>IF(AND(ISNUMBER(A12),ISNUMBER(B12),ISNUMBER($K$2),ISNUMBER($K$3),$K$3&gt;$K$2),(B12-$K$2)/($K$3-$K$2),"")</f>
        <v/>
      </c>
      <c r="D12" s="5">
        <f>IF(ISNUMBER(C12),IF(B12&lt;$K$3,LN(($K$3-$K$2)/($K$3-B12)),""),"")</f>
        <v/>
      </c>
      <c r="E12" s="5">
        <f>IF(AND(ISNUMBER(C12),ISNUMBER(D12),C12&gt;=0.2,C12&lt;=0.8),D12,"")</f>
        <v/>
      </c>
      <c r="F12" s="5">
        <f>IF(ISNUMBER(E12),A12,"")</f>
        <v/>
      </c>
      <c r="G12" s="5">
        <f>IF(AND(ISNUMBER(E12),ISNUMBER($K$4)),E12-($K$7+$K$4*A12),"")</f>
        <v/>
      </c>
    </row>
    <row r="13">
      <c r="A13" s="4" t="n"/>
      <c r="B13" s="4" t="n"/>
      <c r="C13" s="5">
        <f>IF(AND(ISNUMBER(A13),ISNUMBER(B13),ISNUMBER($K$2),ISNUMBER($K$3),$K$3&gt;$K$2),(B13-$K$2)/($K$3-$K$2),"")</f>
        <v/>
      </c>
      <c r="D13" s="5">
        <f>IF(ISNUMBER(C13),IF(B13&lt;$K$3,LN(($K$3-$K$2)/($K$3-B13)),""),"")</f>
        <v/>
      </c>
      <c r="E13" s="5">
        <f>IF(AND(ISNUMBER(C13),ISNUMBER(D13),C13&gt;=0.2,C13&lt;=0.8),D13,"")</f>
        <v/>
      </c>
      <c r="F13" s="5">
        <f>IF(ISNUMBER(E13),A13,"")</f>
        <v/>
      </c>
      <c r="G13" s="5">
        <f>IF(AND(ISNUMBER(E13),ISNUMBER($K$4)),E13-($K$7+$K$4*A13),"")</f>
        <v/>
      </c>
    </row>
    <row r="14">
      <c r="A14" s="4" t="n"/>
      <c r="B14" s="4" t="n"/>
      <c r="C14" s="5">
        <f>IF(AND(ISNUMBER(A14),ISNUMBER(B14),ISNUMBER($K$2),ISNUMBER($K$3),$K$3&gt;$K$2),(B14-$K$2)/($K$3-$K$2),"")</f>
        <v/>
      </c>
      <c r="D14" s="5">
        <f>IF(ISNUMBER(C14),IF(B14&lt;$K$3,LN(($K$3-$K$2)/($K$3-B14)),""),"")</f>
        <v/>
      </c>
      <c r="E14" s="5">
        <f>IF(AND(ISNUMBER(C14),ISNUMBER(D14),C14&gt;=0.2,C14&lt;=0.8),D14,"")</f>
        <v/>
      </c>
      <c r="F14" s="5">
        <f>IF(ISNUMBER(E14),A14,"")</f>
        <v/>
      </c>
      <c r="G14" s="5">
        <f>IF(AND(ISNUMBER(E14),ISNUMBER($K$4)),E14-($K$7+$K$4*A14),"")</f>
        <v/>
      </c>
    </row>
    <row r="15">
      <c r="A15" s="4" t="n"/>
      <c r="B15" s="4" t="n"/>
      <c r="C15" s="5">
        <f>IF(AND(ISNUMBER(A15),ISNUMBER(B15),ISNUMBER($K$2),ISNUMBER($K$3),$K$3&gt;$K$2),(B15-$K$2)/($K$3-$K$2),"")</f>
        <v/>
      </c>
      <c r="D15" s="5">
        <f>IF(ISNUMBER(C15),IF(B15&lt;$K$3,LN(($K$3-$K$2)/($K$3-B15)),""),"")</f>
        <v/>
      </c>
      <c r="E15" s="5">
        <f>IF(AND(ISNUMBER(C15),ISNUMBER(D15),C15&gt;=0.2,C15&lt;=0.8),D15,"")</f>
        <v/>
      </c>
      <c r="F15" s="5">
        <f>IF(ISNUMBER(E15),A15,"")</f>
        <v/>
      </c>
      <c r="G15" s="5">
        <f>IF(AND(ISNUMBER(E15),ISNUMBER($K$4)),E15-($K$7+$K$4*A15),"")</f>
        <v/>
      </c>
    </row>
    <row r="16">
      <c r="A16" s="4" t="n"/>
      <c r="B16" s="4" t="n"/>
      <c r="C16" s="5">
        <f>IF(AND(ISNUMBER(A16),ISNUMBER(B16),ISNUMBER($K$2),ISNUMBER($K$3),$K$3&gt;$K$2),(B16-$K$2)/($K$3-$K$2),"")</f>
        <v/>
      </c>
      <c r="D16" s="5">
        <f>IF(ISNUMBER(C16),IF(B16&lt;$K$3,LN(($K$3-$K$2)/($K$3-B16)),""),"")</f>
        <v/>
      </c>
      <c r="E16" s="5">
        <f>IF(AND(ISNUMBER(C16),ISNUMBER(D16),C16&gt;=0.2,C16&lt;=0.8),D16,"")</f>
        <v/>
      </c>
      <c r="F16" s="5">
        <f>IF(ISNUMBER(E16),A16,"")</f>
        <v/>
      </c>
      <c r="G16" s="5">
        <f>IF(AND(ISNUMBER(E16),ISNUMBER($K$4)),E16-($K$7+$K$4*A16),"")</f>
        <v/>
      </c>
    </row>
    <row r="17">
      <c r="A17" s="4" t="n"/>
      <c r="B17" s="4" t="n"/>
      <c r="C17" s="5">
        <f>IF(AND(ISNUMBER(A17),ISNUMBER(B17),ISNUMBER($K$2),ISNUMBER($K$3),$K$3&gt;$K$2),(B17-$K$2)/($K$3-$K$2),"")</f>
        <v/>
      </c>
      <c r="D17" s="5">
        <f>IF(ISNUMBER(C17),IF(B17&lt;$K$3,LN(($K$3-$K$2)/($K$3-B17)),""),"")</f>
        <v/>
      </c>
      <c r="E17" s="5">
        <f>IF(AND(ISNUMBER(C17),ISNUMBER(D17),C17&gt;=0.2,C17&lt;=0.8),D17,"")</f>
        <v/>
      </c>
      <c r="F17" s="5">
        <f>IF(ISNUMBER(E17),A17,"")</f>
        <v/>
      </c>
      <c r="G17" s="5">
        <f>IF(AND(ISNUMBER(E17),ISNUMBER($K$4)),E17-($K$7+$K$4*A17),"")</f>
        <v/>
      </c>
    </row>
    <row r="18">
      <c r="A18" s="4" t="n"/>
      <c r="B18" s="4" t="n"/>
      <c r="C18" s="5">
        <f>IF(AND(ISNUMBER(A18),ISNUMBER(B18),ISNUMBER($K$2),ISNUMBER($K$3),$K$3&gt;$K$2),(B18-$K$2)/($K$3-$K$2),"")</f>
        <v/>
      </c>
      <c r="D18" s="5">
        <f>IF(ISNUMBER(C18),IF(B18&lt;$K$3,LN(($K$3-$K$2)/($K$3-B18)),""),"")</f>
        <v/>
      </c>
      <c r="E18" s="5">
        <f>IF(AND(ISNUMBER(C18),ISNUMBER(D18),C18&gt;=0.2,C18&lt;=0.8),D18,"")</f>
        <v/>
      </c>
      <c r="F18" s="5">
        <f>IF(ISNUMBER(E18),A18,"")</f>
        <v/>
      </c>
      <c r="G18" s="5">
        <f>IF(AND(ISNUMBER(E18),ISNUMBER($K$4)),E18-($K$7+$K$4*A18),"")</f>
        <v/>
      </c>
    </row>
    <row r="19">
      <c r="A19" s="4" t="n"/>
      <c r="B19" s="4" t="n"/>
      <c r="C19" s="5">
        <f>IF(AND(ISNUMBER(A19),ISNUMBER(B19),ISNUMBER($K$2),ISNUMBER($K$3),$K$3&gt;$K$2),(B19-$K$2)/($K$3-$K$2),"")</f>
        <v/>
      </c>
      <c r="D19" s="5">
        <f>IF(ISNUMBER(C19),IF(B19&lt;$K$3,LN(($K$3-$K$2)/($K$3-B19)),""),"")</f>
        <v/>
      </c>
      <c r="E19" s="5">
        <f>IF(AND(ISNUMBER(C19),ISNUMBER(D19),C19&gt;=0.2,C19&lt;=0.8),D19,"")</f>
        <v/>
      </c>
      <c r="F19" s="5">
        <f>IF(ISNUMBER(E19),A19,"")</f>
        <v/>
      </c>
      <c r="G19" s="5">
        <f>IF(AND(ISNUMBER(E19),ISNUMBER($K$4)),E19-($K$7+$K$4*A19),"")</f>
        <v/>
      </c>
    </row>
    <row r="20">
      <c r="A20" s="4" t="n"/>
      <c r="B20" s="4" t="n"/>
      <c r="C20" s="5">
        <f>IF(AND(ISNUMBER(A20),ISNUMBER(B20),ISNUMBER($K$2),ISNUMBER($K$3),$K$3&gt;$K$2),(B20-$K$2)/($K$3-$K$2),"")</f>
        <v/>
      </c>
      <c r="D20" s="5">
        <f>IF(ISNUMBER(C20),IF(B20&lt;$K$3,LN(($K$3-$K$2)/($K$3-B20)),""),"")</f>
        <v/>
      </c>
      <c r="E20" s="5">
        <f>IF(AND(ISNUMBER(C20),ISNUMBER(D20),C20&gt;=0.2,C20&lt;=0.8),D20,"")</f>
        <v/>
      </c>
      <c r="F20" s="5">
        <f>IF(ISNUMBER(E20),A20,"")</f>
        <v/>
      </c>
      <c r="G20" s="5">
        <f>IF(AND(ISNUMBER(E20),ISNUMBER($K$4)),E20-($K$7+$K$4*A20),"")</f>
        <v/>
      </c>
    </row>
    <row r="21">
      <c r="A21" s="4" t="n"/>
      <c r="B21" s="4" t="n"/>
      <c r="C21" s="5">
        <f>IF(AND(ISNUMBER(A21),ISNUMBER(B21),ISNUMBER($K$2),ISNUMBER($K$3),$K$3&gt;$K$2),(B21-$K$2)/($K$3-$K$2),"")</f>
        <v/>
      </c>
      <c r="D21" s="5">
        <f>IF(ISNUMBER(C21),IF(B21&lt;$K$3,LN(($K$3-$K$2)/($K$3-B21)),""),"")</f>
        <v/>
      </c>
      <c r="E21" s="5">
        <f>IF(AND(ISNUMBER(C21),ISNUMBER(D21),C21&gt;=0.2,C21&lt;=0.8),D21,"")</f>
        <v/>
      </c>
      <c r="F21" s="5">
        <f>IF(ISNUMBER(E21),A21,"")</f>
        <v/>
      </c>
      <c r="G21" s="5">
        <f>IF(AND(ISNUMBER(E21),ISNUMBER($K$4)),E21-($K$7+$K$4*A21),"")</f>
        <v/>
      </c>
    </row>
    <row r="22">
      <c r="A22" s="4" t="n"/>
      <c r="B22" s="4" t="n"/>
      <c r="C22" s="5">
        <f>IF(AND(ISNUMBER(A22),ISNUMBER(B22),ISNUMBER($K$2),ISNUMBER($K$3),$K$3&gt;$K$2),(B22-$K$2)/($K$3-$K$2),"")</f>
        <v/>
      </c>
      <c r="D22" s="5">
        <f>IF(ISNUMBER(C22),IF(B22&lt;$K$3,LN(($K$3-$K$2)/($K$3-B22)),""),"")</f>
        <v/>
      </c>
      <c r="E22" s="5">
        <f>IF(AND(ISNUMBER(C22),ISNUMBER(D22),C22&gt;=0.2,C22&lt;=0.8),D22,"")</f>
        <v/>
      </c>
      <c r="F22" s="5">
        <f>IF(ISNUMBER(E22),A22,"")</f>
        <v/>
      </c>
      <c r="G22" s="5">
        <f>IF(AND(ISNUMBER(E22),ISNUMBER($K$4)),E22-($K$7+$K$4*A22),"")</f>
        <v/>
      </c>
    </row>
    <row r="23">
      <c r="A23" s="4" t="n"/>
      <c r="B23" s="4" t="n"/>
      <c r="C23" s="5">
        <f>IF(AND(ISNUMBER(A23),ISNUMBER(B23),ISNUMBER($K$2),ISNUMBER($K$3),$K$3&gt;$K$2),(B23-$K$2)/($K$3-$K$2),"")</f>
        <v/>
      </c>
      <c r="D23" s="5">
        <f>IF(ISNUMBER(C23),IF(B23&lt;$K$3,LN(($K$3-$K$2)/($K$3-B23)),""),"")</f>
        <v/>
      </c>
      <c r="E23" s="5">
        <f>IF(AND(ISNUMBER(C23),ISNUMBER(D23),C23&gt;=0.2,C23&lt;=0.8),D23,"")</f>
        <v/>
      </c>
      <c r="F23" s="5">
        <f>IF(ISNUMBER(E23),A23,"")</f>
        <v/>
      </c>
      <c r="G23" s="5">
        <f>IF(AND(ISNUMBER(E23),ISNUMBER($K$4)),E23-($K$7+$K$4*A23),"")</f>
        <v/>
      </c>
    </row>
    <row r="24">
      <c r="A24" s="4" t="n"/>
      <c r="B24" s="4" t="n"/>
      <c r="C24" s="5">
        <f>IF(AND(ISNUMBER(A24),ISNUMBER(B24),ISNUMBER($K$2),ISNUMBER($K$3),$K$3&gt;$K$2),(B24-$K$2)/($K$3-$K$2),"")</f>
        <v/>
      </c>
      <c r="D24" s="5">
        <f>IF(ISNUMBER(C24),IF(B24&lt;$K$3,LN(($K$3-$K$2)/($K$3-B24)),""),"")</f>
        <v/>
      </c>
      <c r="E24" s="5">
        <f>IF(AND(ISNUMBER(C24),ISNUMBER(D24),C24&gt;=0.2,C24&lt;=0.8),D24,"")</f>
        <v/>
      </c>
      <c r="F24" s="5">
        <f>IF(ISNUMBER(E24),A24,"")</f>
        <v/>
      </c>
      <c r="G24" s="5">
        <f>IF(AND(ISNUMBER(E24),ISNUMBER($K$4)),E24-($K$7+$K$4*A24),"")</f>
        <v/>
      </c>
    </row>
    <row r="25">
      <c r="A25" s="4" t="n"/>
      <c r="B25" s="4" t="n"/>
      <c r="C25" s="5">
        <f>IF(AND(ISNUMBER(A25),ISNUMBER(B25),ISNUMBER($K$2),ISNUMBER($K$3),$K$3&gt;$K$2),(B25-$K$2)/($K$3-$K$2),"")</f>
        <v/>
      </c>
      <c r="D25" s="5">
        <f>IF(ISNUMBER(C25),IF(B25&lt;$K$3,LN(($K$3-$K$2)/($K$3-B25)),""),"")</f>
        <v/>
      </c>
      <c r="E25" s="5">
        <f>IF(AND(ISNUMBER(C25),ISNUMBER(D25),C25&gt;=0.2,C25&lt;=0.8),D25,"")</f>
        <v/>
      </c>
      <c r="F25" s="5">
        <f>IF(ISNUMBER(E25),A25,"")</f>
        <v/>
      </c>
      <c r="G25" s="5">
        <f>IF(AND(ISNUMBER(E25),ISNUMBER($K$4)),E25-($K$7+$K$4*A25),"")</f>
        <v/>
      </c>
    </row>
    <row r="26">
      <c r="A26" s="4" t="n"/>
      <c r="B26" s="4" t="n"/>
      <c r="C26" s="5">
        <f>IF(AND(ISNUMBER(A26),ISNUMBER(B26),ISNUMBER($K$2),ISNUMBER($K$3),$K$3&gt;$K$2),(B26-$K$2)/($K$3-$K$2),"")</f>
        <v/>
      </c>
      <c r="D26" s="5">
        <f>IF(ISNUMBER(C26),IF(B26&lt;$K$3,LN(($K$3-$K$2)/($K$3-B26)),""),"")</f>
        <v/>
      </c>
      <c r="E26" s="5">
        <f>IF(AND(ISNUMBER(C26),ISNUMBER(D26),C26&gt;=0.2,C26&lt;=0.8),D26,"")</f>
        <v/>
      </c>
      <c r="F26" s="5">
        <f>IF(ISNUMBER(E26),A26,"")</f>
        <v/>
      </c>
      <c r="G26" s="5">
        <f>IF(AND(ISNUMBER(E26),ISNUMBER($K$4)),E26-($K$7+$K$4*A26),"")</f>
        <v/>
      </c>
    </row>
    <row r="27">
      <c r="A27" s="4" t="n"/>
      <c r="B27" s="4" t="n"/>
      <c r="C27" s="5">
        <f>IF(AND(ISNUMBER(A27),ISNUMBER(B27),ISNUMBER($K$2),ISNUMBER($K$3),$K$3&gt;$K$2),(B27-$K$2)/($K$3-$K$2),"")</f>
        <v/>
      </c>
      <c r="D27" s="5">
        <f>IF(ISNUMBER(C27),IF(B27&lt;$K$3,LN(($K$3-$K$2)/($K$3-B27)),""),"")</f>
        <v/>
      </c>
      <c r="E27" s="5">
        <f>IF(AND(ISNUMBER(C27),ISNUMBER(D27),C27&gt;=0.2,C27&lt;=0.8),D27,"")</f>
        <v/>
      </c>
      <c r="F27" s="5">
        <f>IF(ISNUMBER(E27),A27,"")</f>
        <v/>
      </c>
      <c r="G27" s="5">
        <f>IF(AND(ISNUMBER(E27),ISNUMBER($K$4)),E27-($K$7+$K$4*A27),"")</f>
        <v/>
      </c>
    </row>
    <row r="28">
      <c r="A28" s="4" t="n"/>
      <c r="B28" s="4" t="n"/>
      <c r="C28" s="5">
        <f>IF(AND(ISNUMBER(A28),ISNUMBER(B28),ISNUMBER($K$2),ISNUMBER($K$3),$K$3&gt;$K$2),(B28-$K$2)/($K$3-$K$2),"")</f>
        <v/>
      </c>
      <c r="D28" s="5">
        <f>IF(ISNUMBER(C28),IF(B28&lt;$K$3,LN(($K$3-$K$2)/($K$3-B28)),""),"")</f>
        <v/>
      </c>
      <c r="E28" s="5">
        <f>IF(AND(ISNUMBER(C28),ISNUMBER(D28),C28&gt;=0.2,C28&lt;=0.8),D28,"")</f>
        <v/>
      </c>
      <c r="F28" s="5">
        <f>IF(ISNUMBER(E28),A28,"")</f>
        <v/>
      </c>
      <c r="G28" s="5">
        <f>IF(AND(ISNUMBER(E28),ISNUMBER($K$4)),E28-($K$7+$K$4*A28),"")</f>
        <v/>
      </c>
    </row>
    <row r="29">
      <c r="A29" s="4" t="n"/>
      <c r="B29" s="4" t="n"/>
      <c r="C29" s="5">
        <f>IF(AND(ISNUMBER(A29),ISNUMBER(B29),ISNUMBER($K$2),ISNUMBER($K$3),$K$3&gt;$K$2),(B29-$K$2)/($K$3-$K$2),"")</f>
        <v/>
      </c>
      <c r="D29" s="5">
        <f>IF(ISNUMBER(C29),IF(B29&lt;$K$3,LN(($K$3-$K$2)/($K$3-B29)),""),"")</f>
        <v/>
      </c>
      <c r="E29" s="5">
        <f>IF(AND(ISNUMBER(C29),ISNUMBER(D29),C29&gt;=0.2,C29&lt;=0.8),D29,"")</f>
        <v/>
      </c>
      <c r="F29" s="5">
        <f>IF(ISNUMBER(E29),A29,"")</f>
        <v/>
      </c>
      <c r="G29" s="5">
        <f>IF(AND(ISNUMBER(E29),ISNUMBER($K$4)),E29-($K$7+$K$4*A29),"")</f>
        <v/>
      </c>
    </row>
    <row r="30">
      <c r="A30" s="4" t="n"/>
      <c r="B30" s="4" t="n"/>
      <c r="C30" s="5">
        <f>IF(AND(ISNUMBER(A30),ISNUMBER(B30),ISNUMBER($K$2),ISNUMBER($K$3),$K$3&gt;$K$2),(B30-$K$2)/($K$3-$K$2),"")</f>
        <v/>
      </c>
      <c r="D30" s="5">
        <f>IF(ISNUMBER(C30),IF(B30&lt;$K$3,LN(($K$3-$K$2)/($K$3-B30)),""),"")</f>
        <v/>
      </c>
      <c r="E30" s="5">
        <f>IF(AND(ISNUMBER(C30),ISNUMBER(D30),C30&gt;=0.2,C30&lt;=0.8),D30,"")</f>
        <v/>
      </c>
      <c r="F30" s="5">
        <f>IF(ISNUMBER(E30),A30,"")</f>
        <v/>
      </c>
      <c r="G30" s="5">
        <f>IF(AND(ISNUMBER(E30),ISNUMBER($K$4)),E30-($K$7+$K$4*A30),"")</f>
        <v/>
      </c>
    </row>
    <row r="31">
      <c r="A31" s="4" t="n"/>
      <c r="B31" s="4" t="n"/>
      <c r="C31" s="5">
        <f>IF(AND(ISNUMBER(A31),ISNUMBER(B31),ISNUMBER($K$2),ISNUMBER($K$3),$K$3&gt;$K$2),(B31-$K$2)/($K$3-$K$2),"")</f>
        <v/>
      </c>
      <c r="D31" s="5">
        <f>IF(ISNUMBER(C31),IF(B31&lt;$K$3,LN(($K$3-$K$2)/($K$3-B31)),""),"")</f>
        <v/>
      </c>
      <c r="E31" s="5">
        <f>IF(AND(ISNUMBER(C31),ISNUMBER(D31),C31&gt;=0.2,C31&lt;=0.8),D31,"")</f>
        <v/>
      </c>
      <c r="F31" s="5">
        <f>IF(ISNUMBER(E31),A31,"")</f>
        <v/>
      </c>
      <c r="G31" s="5">
        <f>IF(AND(ISNUMBER(E31),ISNUMBER($K$4)),E31-($K$7+$K$4*A31),"")</f>
        <v/>
      </c>
    </row>
    <row r="32">
      <c r="A32" s="4" t="n"/>
      <c r="B32" s="4" t="n"/>
      <c r="C32" s="5">
        <f>IF(AND(ISNUMBER(A32),ISNUMBER(B32),ISNUMBER($K$2),ISNUMBER($K$3),$K$3&gt;$K$2),(B32-$K$2)/($K$3-$K$2),"")</f>
        <v/>
      </c>
      <c r="D32" s="5">
        <f>IF(ISNUMBER(C32),IF(B32&lt;$K$3,LN(($K$3-$K$2)/($K$3-B32)),""),"")</f>
        <v/>
      </c>
      <c r="E32" s="5">
        <f>IF(AND(ISNUMBER(C32),ISNUMBER(D32),C32&gt;=0.2,C32&lt;=0.8),D32,"")</f>
        <v/>
      </c>
      <c r="F32" s="5">
        <f>IF(ISNUMBER(E32),A32,"")</f>
        <v/>
      </c>
      <c r="G32" s="5">
        <f>IF(AND(ISNUMBER(E32),ISNUMBER($K$4)),E32-($K$7+$K$4*A32),"")</f>
        <v/>
      </c>
    </row>
    <row r="33">
      <c r="A33" s="4" t="n"/>
      <c r="B33" s="4" t="n"/>
      <c r="C33" s="5">
        <f>IF(AND(ISNUMBER(A33),ISNUMBER(B33),ISNUMBER($K$2),ISNUMBER($K$3),$K$3&gt;$K$2),(B33-$K$2)/($K$3-$K$2),"")</f>
        <v/>
      </c>
      <c r="D33" s="5">
        <f>IF(ISNUMBER(C33),IF(B33&lt;$K$3,LN(($K$3-$K$2)/($K$3-B33)),""),"")</f>
        <v/>
      </c>
      <c r="E33" s="5">
        <f>IF(AND(ISNUMBER(C33),ISNUMBER(D33),C33&gt;=0.2,C33&lt;=0.8),D33,"")</f>
        <v/>
      </c>
      <c r="F33" s="5">
        <f>IF(ISNUMBER(E33),A33,"")</f>
        <v/>
      </c>
      <c r="G33" s="5">
        <f>IF(AND(ISNUMBER(E33),ISNUMBER($K$4)),E33-($K$7+$K$4*A33),"")</f>
        <v/>
      </c>
    </row>
    <row r="34">
      <c r="A34" s="4" t="n"/>
      <c r="B34" s="4" t="n"/>
      <c r="C34" s="5">
        <f>IF(AND(ISNUMBER(A34),ISNUMBER(B34),ISNUMBER($K$2),ISNUMBER($K$3),$K$3&gt;$K$2),(B34-$K$2)/($K$3-$K$2),"")</f>
        <v/>
      </c>
      <c r="D34" s="5">
        <f>IF(ISNUMBER(C34),IF(B34&lt;$K$3,LN(($K$3-$K$2)/($K$3-B34)),""),"")</f>
        <v/>
      </c>
      <c r="E34" s="5">
        <f>IF(AND(ISNUMBER(C34),ISNUMBER(D34),C34&gt;=0.2,C34&lt;=0.8),D34,"")</f>
        <v/>
      </c>
      <c r="F34" s="5">
        <f>IF(ISNUMBER(E34),A34,"")</f>
        <v/>
      </c>
      <c r="G34" s="5">
        <f>IF(AND(ISNUMBER(E34),ISNUMBER($K$4)),E34-($K$7+$K$4*A34),"")</f>
        <v/>
      </c>
    </row>
    <row r="35">
      <c r="A35" s="4" t="n"/>
      <c r="B35" s="4" t="n"/>
      <c r="C35" s="5">
        <f>IF(AND(ISNUMBER(A35),ISNUMBER(B35),ISNUMBER($K$2),ISNUMBER($K$3),$K$3&gt;$K$2),(B35-$K$2)/($K$3-$K$2),"")</f>
        <v/>
      </c>
      <c r="D35" s="5">
        <f>IF(ISNUMBER(C35),IF(B35&lt;$K$3,LN(($K$3-$K$2)/($K$3-B35)),""),"")</f>
        <v/>
      </c>
      <c r="E35" s="5">
        <f>IF(AND(ISNUMBER(C35),ISNUMBER(D35),C35&gt;=0.2,C35&lt;=0.8),D35,"")</f>
        <v/>
      </c>
      <c r="F35" s="5">
        <f>IF(ISNUMBER(E35),A35,"")</f>
        <v/>
      </c>
      <c r="G35" s="5">
        <f>IF(AND(ISNUMBER(E35),ISNUMBER($K$4)),E35-($K$7+$K$4*A35),"")</f>
        <v/>
      </c>
    </row>
    <row r="36">
      <c r="A36" s="4" t="n"/>
      <c r="B36" s="4" t="n"/>
      <c r="C36" s="5">
        <f>IF(AND(ISNUMBER(A36),ISNUMBER(B36),ISNUMBER($K$2),ISNUMBER($K$3),$K$3&gt;$K$2),(B36-$K$2)/($K$3-$K$2),"")</f>
        <v/>
      </c>
      <c r="D36" s="5">
        <f>IF(ISNUMBER(C36),IF(B36&lt;$K$3,LN(($K$3-$K$2)/($K$3-B36)),""),"")</f>
        <v/>
      </c>
      <c r="E36" s="5">
        <f>IF(AND(ISNUMBER(C36),ISNUMBER(D36),C36&gt;=0.2,C36&lt;=0.8),D36,"")</f>
        <v/>
      </c>
      <c r="F36" s="5">
        <f>IF(ISNUMBER(E36),A36,"")</f>
        <v/>
      </c>
      <c r="G36" s="5">
        <f>IF(AND(ISNUMBER(E36),ISNUMBER($K$4)),E36-($K$7+$K$4*A36),"")</f>
        <v/>
      </c>
    </row>
    <row r="37">
      <c r="A37" s="4" t="n"/>
      <c r="B37" s="4" t="n"/>
      <c r="C37" s="5">
        <f>IF(AND(ISNUMBER(A37),ISNUMBER(B37),ISNUMBER($K$2),ISNUMBER($K$3),$K$3&gt;$K$2),(B37-$K$2)/($K$3-$K$2),"")</f>
        <v/>
      </c>
      <c r="D37" s="5">
        <f>IF(ISNUMBER(C37),IF(B37&lt;$K$3,LN(($K$3-$K$2)/($K$3-B37)),""),"")</f>
        <v/>
      </c>
      <c r="E37" s="5">
        <f>IF(AND(ISNUMBER(C37),ISNUMBER(D37),C37&gt;=0.2,C37&lt;=0.8),D37,"")</f>
        <v/>
      </c>
      <c r="F37" s="5">
        <f>IF(ISNUMBER(E37),A37,"")</f>
        <v/>
      </c>
      <c r="G37" s="5">
        <f>IF(AND(ISNUMBER(E37),ISNUMBER($K$4)),E37-($K$7+$K$4*A37),"")</f>
        <v/>
      </c>
    </row>
    <row r="38">
      <c r="A38" s="4" t="n"/>
      <c r="B38" s="4" t="n"/>
      <c r="C38" s="5">
        <f>IF(AND(ISNUMBER(A38),ISNUMBER(B38),ISNUMBER($K$2),ISNUMBER($K$3),$K$3&gt;$K$2),(B38-$K$2)/($K$3-$K$2),"")</f>
        <v/>
      </c>
      <c r="D38" s="5">
        <f>IF(ISNUMBER(C38),IF(B38&lt;$K$3,LN(($K$3-$K$2)/($K$3-B38)),""),"")</f>
        <v/>
      </c>
      <c r="E38" s="5">
        <f>IF(AND(ISNUMBER(C38),ISNUMBER(D38),C38&gt;=0.2,C38&lt;=0.8),D38,"")</f>
        <v/>
      </c>
      <c r="F38" s="5">
        <f>IF(ISNUMBER(E38),A38,"")</f>
        <v/>
      </c>
      <c r="G38" s="5">
        <f>IF(AND(ISNUMBER(E38),ISNUMBER($K$4)),E38-($K$7+$K$4*A38),"")</f>
        <v/>
      </c>
    </row>
    <row r="39">
      <c r="A39" s="4" t="n"/>
      <c r="B39" s="4" t="n"/>
      <c r="C39" s="5">
        <f>IF(AND(ISNUMBER(A39),ISNUMBER(B39),ISNUMBER($K$2),ISNUMBER($K$3),$K$3&gt;$K$2),(B39-$K$2)/($K$3-$K$2),"")</f>
        <v/>
      </c>
      <c r="D39" s="5">
        <f>IF(ISNUMBER(C39),IF(B39&lt;$K$3,LN(($K$3-$K$2)/($K$3-B39)),""),"")</f>
        <v/>
      </c>
      <c r="E39" s="5">
        <f>IF(AND(ISNUMBER(C39),ISNUMBER(D39),C39&gt;=0.2,C39&lt;=0.8),D39,"")</f>
        <v/>
      </c>
      <c r="F39" s="5">
        <f>IF(ISNUMBER(E39),A39,"")</f>
        <v/>
      </c>
      <c r="G39" s="5">
        <f>IF(AND(ISNUMBER(E39),ISNUMBER($K$4)),E39-($K$7+$K$4*A39),"")</f>
        <v/>
      </c>
    </row>
    <row r="40">
      <c r="A40" s="4" t="n"/>
      <c r="B40" s="4" t="n"/>
      <c r="C40" s="5">
        <f>IF(AND(ISNUMBER(A40),ISNUMBER(B40),ISNUMBER($K$2),ISNUMBER($K$3),$K$3&gt;$K$2),(B40-$K$2)/($K$3-$K$2),"")</f>
        <v/>
      </c>
      <c r="D40" s="5">
        <f>IF(ISNUMBER(C40),IF(B40&lt;$K$3,LN(($K$3-$K$2)/($K$3-B40)),""),"")</f>
        <v/>
      </c>
      <c r="E40" s="5">
        <f>IF(AND(ISNUMBER(C40),ISNUMBER(D40),C40&gt;=0.2,C40&lt;=0.8),D40,"")</f>
        <v/>
      </c>
      <c r="F40" s="5">
        <f>IF(ISNUMBER(E40),A40,"")</f>
        <v/>
      </c>
      <c r="G40" s="5">
        <f>IF(AND(ISNUMBER(E40),ISNUMBER($K$4)),E40-($K$7+$K$4*A40),"")</f>
        <v/>
      </c>
    </row>
    <row r="41">
      <c r="A41" s="4" t="n"/>
      <c r="B41" s="4" t="n"/>
      <c r="C41" s="5">
        <f>IF(AND(ISNUMBER(A41),ISNUMBER(B41),ISNUMBER($K$2),ISNUMBER($K$3),$K$3&gt;$K$2),(B41-$K$2)/($K$3-$K$2),"")</f>
        <v/>
      </c>
      <c r="D41" s="5">
        <f>IF(ISNUMBER(C41),IF(B41&lt;$K$3,LN(($K$3-$K$2)/($K$3-B41)),""),"")</f>
        <v/>
      </c>
      <c r="E41" s="5">
        <f>IF(AND(ISNUMBER(C41),ISNUMBER(D41),C41&gt;=0.2,C41&lt;=0.8),D41,"")</f>
        <v/>
      </c>
      <c r="F41" s="5">
        <f>IF(ISNUMBER(E41),A41,"")</f>
        <v/>
      </c>
      <c r="G41" s="5">
        <f>IF(AND(ISNUMBER(E41),ISNUMBER($K$4)),E41-($K$7+$K$4*A41),"")</f>
        <v/>
      </c>
    </row>
    <row r="42">
      <c r="A42" s="4" t="n"/>
      <c r="B42" s="4" t="n"/>
      <c r="C42" s="5">
        <f>IF(AND(ISNUMBER(A42),ISNUMBER(B42),ISNUMBER($K$2),ISNUMBER($K$3),$K$3&gt;$K$2),(B42-$K$2)/($K$3-$K$2),"")</f>
        <v/>
      </c>
      <c r="D42" s="5">
        <f>IF(ISNUMBER(C42),IF(B42&lt;$K$3,LN(($K$3-$K$2)/($K$3-B42)),""),"")</f>
        <v/>
      </c>
      <c r="E42" s="5">
        <f>IF(AND(ISNUMBER(C42),ISNUMBER(D42),C42&gt;=0.2,C42&lt;=0.8),D42,"")</f>
        <v/>
      </c>
      <c r="F42" s="5">
        <f>IF(ISNUMBER(E42),A42,"")</f>
        <v/>
      </c>
      <c r="G42" s="5">
        <f>IF(AND(ISNUMBER(E42),ISNUMBER($K$4)),E42-($K$7+$K$4*A42),"")</f>
        <v/>
      </c>
    </row>
    <row r="43">
      <c r="A43" s="4" t="n"/>
      <c r="B43" s="4" t="n"/>
      <c r="C43" s="5">
        <f>IF(AND(ISNUMBER(A43),ISNUMBER(B43),ISNUMBER($K$2),ISNUMBER($K$3),$K$3&gt;$K$2),(B43-$K$2)/($K$3-$K$2),"")</f>
        <v/>
      </c>
      <c r="D43" s="5">
        <f>IF(ISNUMBER(C43),IF(B43&lt;$K$3,LN(($K$3-$K$2)/($K$3-B43)),""),"")</f>
        <v/>
      </c>
      <c r="E43" s="5">
        <f>IF(AND(ISNUMBER(C43),ISNUMBER(D43),C43&gt;=0.2,C43&lt;=0.8),D43,"")</f>
        <v/>
      </c>
      <c r="F43" s="5">
        <f>IF(ISNUMBER(E43),A43,"")</f>
        <v/>
      </c>
      <c r="G43" s="5">
        <f>IF(AND(ISNUMBER(E43),ISNUMBER($K$4)),E43-($K$7+$K$4*A43),"")</f>
        <v/>
      </c>
    </row>
    <row r="44">
      <c r="A44" s="4" t="n"/>
      <c r="B44" s="4" t="n"/>
      <c r="C44" s="5">
        <f>IF(AND(ISNUMBER(A44),ISNUMBER(B44),ISNUMBER($K$2),ISNUMBER($K$3),$K$3&gt;$K$2),(B44-$K$2)/($K$3-$K$2),"")</f>
        <v/>
      </c>
      <c r="D44" s="5">
        <f>IF(ISNUMBER(C44),IF(B44&lt;$K$3,LN(($K$3-$K$2)/($K$3-B44)),""),"")</f>
        <v/>
      </c>
      <c r="E44" s="5">
        <f>IF(AND(ISNUMBER(C44),ISNUMBER(D44),C44&gt;=0.2,C44&lt;=0.8),D44,"")</f>
        <v/>
      </c>
      <c r="F44" s="5">
        <f>IF(ISNUMBER(E44),A44,"")</f>
        <v/>
      </c>
      <c r="G44" s="5">
        <f>IF(AND(ISNUMBER(E44),ISNUMBER($K$4)),E44-($K$7+$K$4*A44),"")</f>
        <v/>
      </c>
    </row>
    <row r="45">
      <c r="A45" s="4" t="n"/>
      <c r="B45" s="4" t="n"/>
      <c r="C45" s="5">
        <f>IF(AND(ISNUMBER(A45),ISNUMBER(B45),ISNUMBER($K$2),ISNUMBER($K$3),$K$3&gt;$K$2),(B45-$K$2)/($K$3-$K$2),"")</f>
        <v/>
      </c>
      <c r="D45" s="5">
        <f>IF(ISNUMBER(C45),IF(B45&lt;$K$3,LN(($K$3-$K$2)/($K$3-B45)),""),"")</f>
        <v/>
      </c>
      <c r="E45" s="5">
        <f>IF(AND(ISNUMBER(C45),ISNUMBER(D45),C45&gt;=0.2,C45&lt;=0.8),D45,"")</f>
        <v/>
      </c>
      <c r="F45" s="5">
        <f>IF(ISNUMBER(E45),A45,"")</f>
        <v/>
      </c>
      <c r="G45" s="5">
        <f>IF(AND(ISNUMBER(E45),ISNUMBER($K$4)),E45-($K$7+$K$4*A45),"")</f>
        <v/>
      </c>
    </row>
    <row r="46">
      <c r="A46" s="4" t="n"/>
      <c r="B46" s="4" t="n"/>
      <c r="C46" s="5">
        <f>IF(AND(ISNUMBER(A46),ISNUMBER(B46),ISNUMBER($K$2),ISNUMBER($K$3),$K$3&gt;$K$2),(B46-$K$2)/($K$3-$K$2),"")</f>
        <v/>
      </c>
      <c r="D46" s="5">
        <f>IF(ISNUMBER(C46),IF(B46&lt;$K$3,LN(($K$3-$K$2)/($K$3-B46)),""),"")</f>
        <v/>
      </c>
      <c r="E46" s="5">
        <f>IF(AND(ISNUMBER(C46),ISNUMBER(D46),C46&gt;=0.2,C46&lt;=0.8),D46,"")</f>
        <v/>
      </c>
      <c r="F46" s="5">
        <f>IF(ISNUMBER(E46),A46,"")</f>
        <v/>
      </c>
      <c r="G46" s="5">
        <f>IF(AND(ISNUMBER(E46),ISNUMBER($K$4)),E46-($K$7+$K$4*A46),"")</f>
        <v/>
      </c>
    </row>
    <row r="47">
      <c r="A47" s="4" t="n"/>
      <c r="B47" s="4" t="n"/>
      <c r="C47" s="5">
        <f>IF(AND(ISNUMBER(A47),ISNUMBER(B47),ISNUMBER($K$2),ISNUMBER($K$3),$K$3&gt;$K$2),(B47-$K$2)/($K$3-$K$2),"")</f>
        <v/>
      </c>
      <c r="D47" s="5">
        <f>IF(ISNUMBER(C47),IF(B47&lt;$K$3,LN(($K$3-$K$2)/($K$3-B47)),""),"")</f>
        <v/>
      </c>
      <c r="E47" s="5">
        <f>IF(AND(ISNUMBER(C47),ISNUMBER(D47),C47&gt;=0.2,C47&lt;=0.8),D47,"")</f>
        <v/>
      </c>
      <c r="F47" s="5">
        <f>IF(ISNUMBER(E47),A47,"")</f>
        <v/>
      </c>
      <c r="G47" s="5">
        <f>IF(AND(ISNUMBER(E47),ISNUMBER($K$4)),E47-($K$7+$K$4*A47),"")</f>
        <v/>
      </c>
    </row>
    <row r="48">
      <c r="A48" s="4" t="n"/>
      <c r="B48" s="4" t="n"/>
      <c r="C48" s="5">
        <f>IF(AND(ISNUMBER(A48),ISNUMBER(B48),ISNUMBER($K$2),ISNUMBER($K$3),$K$3&gt;$K$2),(B48-$K$2)/($K$3-$K$2),"")</f>
        <v/>
      </c>
      <c r="D48" s="5">
        <f>IF(ISNUMBER(C48),IF(B48&lt;$K$3,LN(($K$3-$K$2)/($K$3-B48)),""),"")</f>
        <v/>
      </c>
      <c r="E48" s="5">
        <f>IF(AND(ISNUMBER(C48),ISNUMBER(D48),C48&gt;=0.2,C48&lt;=0.8),D48,"")</f>
        <v/>
      </c>
      <c r="F48" s="5">
        <f>IF(ISNUMBER(E48),A48,"")</f>
        <v/>
      </c>
      <c r="G48" s="5">
        <f>IF(AND(ISNUMBER(E48),ISNUMBER($K$4)),E48-($K$7+$K$4*A48),"")</f>
        <v/>
      </c>
    </row>
    <row r="49">
      <c r="A49" s="4" t="n"/>
      <c r="B49" s="4" t="n"/>
      <c r="C49" s="5">
        <f>IF(AND(ISNUMBER(A49),ISNUMBER(B49),ISNUMBER($K$2),ISNUMBER($K$3),$K$3&gt;$K$2),(B49-$K$2)/($K$3-$K$2),"")</f>
        <v/>
      </c>
      <c r="D49" s="5">
        <f>IF(ISNUMBER(C49),IF(B49&lt;$K$3,LN(($K$3-$K$2)/($K$3-B49)),""),"")</f>
        <v/>
      </c>
      <c r="E49" s="5">
        <f>IF(AND(ISNUMBER(C49),ISNUMBER(D49),C49&gt;=0.2,C49&lt;=0.8),D49,"")</f>
        <v/>
      </c>
      <c r="F49" s="5">
        <f>IF(ISNUMBER(E49),A49,"")</f>
        <v/>
      </c>
      <c r="G49" s="5">
        <f>IF(AND(ISNUMBER(E49),ISNUMBER($K$4)),E49-($K$7+$K$4*A49),"")</f>
        <v/>
      </c>
    </row>
    <row r="50">
      <c r="A50" s="4" t="n"/>
      <c r="B50" s="4" t="n"/>
      <c r="C50" s="5">
        <f>IF(AND(ISNUMBER(A50),ISNUMBER(B50),ISNUMBER($K$2),ISNUMBER($K$3),$K$3&gt;$K$2),(B50-$K$2)/($K$3-$K$2),"")</f>
        <v/>
      </c>
      <c r="D50" s="5">
        <f>IF(ISNUMBER(C50),IF(B50&lt;$K$3,LN(($K$3-$K$2)/($K$3-B50)),""),"")</f>
        <v/>
      </c>
      <c r="E50" s="5">
        <f>IF(AND(ISNUMBER(C50),ISNUMBER(D50),C50&gt;=0.2,C50&lt;=0.8),D50,"")</f>
        <v/>
      </c>
      <c r="F50" s="5">
        <f>IF(ISNUMBER(E50),A50,"")</f>
        <v/>
      </c>
      <c r="G50" s="5">
        <f>IF(AND(ISNUMBER(E50),ISNUMBER($K$4)),E50-($K$7+$K$4*A50),"")</f>
        <v/>
      </c>
    </row>
    <row r="51">
      <c r="A51" s="4" t="n"/>
      <c r="B51" s="4" t="n"/>
      <c r="C51" s="5">
        <f>IF(AND(ISNUMBER(A51),ISNUMBER(B51),ISNUMBER($K$2),ISNUMBER($K$3),$K$3&gt;$K$2),(B51-$K$2)/($K$3-$K$2),"")</f>
        <v/>
      </c>
      <c r="D51" s="5">
        <f>IF(ISNUMBER(C51),IF(B51&lt;$K$3,LN(($K$3-$K$2)/($K$3-B51)),""),"")</f>
        <v/>
      </c>
      <c r="E51" s="5">
        <f>IF(AND(ISNUMBER(C51),ISNUMBER(D51),C51&gt;=0.2,C51&lt;=0.8),D51,"")</f>
        <v/>
      </c>
      <c r="F51" s="5">
        <f>IF(ISNUMBER(E51),A51,"")</f>
        <v/>
      </c>
      <c r="G51" s="5">
        <f>IF(AND(ISNUMBER(E51),ISNUMBER($K$4)),E51-($K$7+$K$4*A51),"")</f>
        <v/>
      </c>
    </row>
    <row r="52">
      <c r="A52" s="4" t="n"/>
      <c r="B52" s="4" t="n"/>
      <c r="C52" s="5">
        <f>IF(AND(ISNUMBER(A52),ISNUMBER(B52),ISNUMBER($K$2),ISNUMBER($K$3),$K$3&gt;$K$2),(B52-$K$2)/($K$3-$K$2),"")</f>
        <v/>
      </c>
      <c r="D52" s="5">
        <f>IF(ISNUMBER(C52),IF(B52&lt;$K$3,LN(($K$3-$K$2)/($K$3-B52)),""),"")</f>
        <v/>
      </c>
      <c r="E52" s="5">
        <f>IF(AND(ISNUMBER(C52),ISNUMBER(D52),C52&gt;=0.2,C52&lt;=0.8),D52,"")</f>
        <v/>
      </c>
      <c r="F52" s="5">
        <f>IF(ISNUMBER(E52),A52,"")</f>
        <v/>
      </c>
      <c r="G52" s="5">
        <f>IF(AND(ISNUMBER(E52),ISNUMBER($K$4)),E52-($K$7+$K$4*A52),"")</f>
        <v/>
      </c>
    </row>
    <row r="53">
      <c r="A53" s="4" t="n"/>
      <c r="B53" s="4" t="n"/>
      <c r="C53" s="5">
        <f>IF(AND(ISNUMBER(A53),ISNUMBER(B53),ISNUMBER($K$2),ISNUMBER($K$3),$K$3&gt;$K$2),(B53-$K$2)/($K$3-$K$2),"")</f>
        <v/>
      </c>
      <c r="D53" s="5">
        <f>IF(ISNUMBER(C53),IF(B53&lt;$K$3,LN(($K$3-$K$2)/($K$3-B53)),""),"")</f>
        <v/>
      </c>
      <c r="E53" s="5">
        <f>IF(AND(ISNUMBER(C53),ISNUMBER(D53),C53&gt;=0.2,C53&lt;=0.8),D53,"")</f>
        <v/>
      </c>
      <c r="F53" s="5">
        <f>IF(ISNUMBER(E53),A53,"")</f>
        <v/>
      </c>
      <c r="G53" s="5">
        <f>IF(AND(ISNUMBER(E53),ISNUMBER($K$4)),E53-($K$7+$K$4*A53),"")</f>
        <v/>
      </c>
    </row>
    <row r="54">
      <c r="A54" s="4" t="n"/>
      <c r="B54" s="4" t="n"/>
      <c r="C54" s="5">
        <f>IF(AND(ISNUMBER(A54),ISNUMBER(B54),ISNUMBER($K$2),ISNUMBER($K$3),$K$3&gt;$K$2),(B54-$K$2)/($K$3-$K$2),"")</f>
        <v/>
      </c>
      <c r="D54" s="5">
        <f>IF(ISNUMBER(C54),IF(B54&lt;$K$3,LN(($K$3-$K$2)/($K$3-B54)),""),"")</f>
        <v/>
      </c>
      <c r="E54" s="5">
        <f>IF(AND(ISNUMBER(C54),ISNUMBER(D54),C54&gt;=0.2,C54&lt;=0.8),D54,"")</f>
        <v/>
      </c>
      <c r="F54" s="5">
        <f>IF(ISNUMBER(E54),A54,"")</f>
        <v/>
      </c>
      <c r="G54" s="5">
        <f>IF(AND(ISNUMBER(E54),ISNUMBER($K$4)),E54-($K$7+$K$4*A54),"")</f>
        <v/>
      </c>
    </row>
    <row r="55">
      <c r="A55" s="4" t="n"/>
      <c r="B55" s="4" t="n"/>
      <c r="C55" s="5">
        <f>IF(AND(ISNUMBER(A55),ISNUMBER(B55),ISNUMBER($K$2),ISNUMBER($K$3),$K$3&gt;$K$2),(B55-$K$2)/($K$3-$K$2),"")</f>
        <v/>
      </c>
      <c r="D55" s="5">
        <f>IF(ISNUMBER(C55),IF(B55&lt;$K$3,LN(($K$3-$K$2)/($K$3-B55)),""),"")</f>
        <v/>
      </c>
      <c r="E55" s="5">
        <f>IF(AND(ISNUMBER(C55),ISNUMBER(D55),C55&gt;=0.2,C55&lt;=0.8),D55,"")</f>
        <v/>
      </c>
      <c r="F55" s="5">
        <f>IF(ISNUMBER(E55),A55,"")</f>
        <v/>
      </c>
      <c r="G55" s="5">
        <f>IF(AND(ISNUMBER(E55),ISNUMBER($K$4)),E55-($K$7+$K$4*A55),"")</f>
        <v/>
      </c>
    </row>
    <row r="56">
      <c r="A56" s="4" t="n"/>
      <c r="B56" s="4" t="n"/>
      <c r="C56" s="5">
        <f>IF(AND(ISNUMBER(A56),ISNUMBER(B56),ISNUMBER($K$2),ISNUMBER($K$3),$K$3&gt;$K$2),(B56-$K$2)/($K$3-$K$2),"")</f>
        <v/>
      </c>
      <c r="D56" s="5">
        <f>IF(ISNUMBER(C56),IF(B56&lt;$K$3,LN(($K$3-$K$2)/($K$3-B56)),""),"")</f>
        <v/>
      </c>
      <c r="E56" s="5">
        <f>IF(AND(ISNUMBER(C56),ISNUMBER(D56),C56&gt;=0.2,C56&lt;=0.8),D56,"")</f>
        <v/>
      </c>
      <c r="F56" s="5">
        <f>IF(ISNUMBER(E56),A56,"")</f>
        <v/>
      </c>
      <c r="G56" s="5">
        <f>IF(AND(ISNUMBER(E56),ISNUMBER($K$4)),E56-($K$7+$K$4*A56),"")</f>
        <v/>
      </c>
    </row>
    <row r="57">
      <c r="A57" s="4" t="n"/>
      <c r="B57" s="4" t="n"/>
      <c r="C57" s="5">
        <f>IF(AND(ISNUMBER(A57),ISNUMBER(B57),ISNUMBER($K$2),ISNUMBER($K$3),$K$3&gt;$K$2),(B57-$K$2)/($K$3-$K$2),"")</f>
        <v/>
      </c>
      <c r="D57" s="5">
        <f>IF(ISNUMBER(C57),IF(B57&lt;$K$3,LN(($K$3-$K$2)/($K$3-B57)),""),"")</f>
        <v/>
      </c>
      <c r="E57" s="5">
        <f>IF(AND(ISNUMBER(C57),ISNUMBER(D57),C57&gt;=0.2,C57&lt;=0.8),D57,"")</f>
        <v/>
      </c>
      <c r="F57" s="5">
        <f>IF(ISNUMBER(E57),A57,"")</f>
        <v/>
      </c>
      <c r="G57" s="5">
        <f>IF(AND(ISNUMBER(E57),ISNUMBER($K$4)),E57-($K$7+$K$4*A57),"")</f>
        <v/>
      </c>
    </row>
    <row r="58">
      <c r="A58" s="4" t="n"/>
      <c r="B58" s="4" t="n"/>
      <c r="C58" s="5">
        <f>IF(AND(ISNUMBER(A58),ISNUMBER(B58),ISNUMBER($K$2),ISNUMBER($K$3),$K$3&gt;$K$2),(B58-$K$2)/($K$3-$K$2),"")</f>
        <v/>
      </c>
      <c r="D58" s="5">
        <f>IF(ISNUMBER(C58),IF(B58&lt;$K$3,LN(($K$3-$K$2)/($K$3-B58)),""),"")</f>
        <v/>
      </c>
      <c r="E58" s="5">
        <f>IF(AND(ISNUMBER(C58),ISNUMBER(D58),C58&gt;=0.2,C58&lt;=0.8),D58,"")</f>
        <v/>
      </c>
      <c r="F58" s="5">
        <f>IF(ISNUMBER(E58),A58,"")</f>
        <v/>
      </c>
      <c r="G58" s="5">
        <f>IF(AND(ISNUMBER(E58),ISNUMBER($K$4)),E58-($K$7+$K$4*A58),"")</f>
        <v/>
      </c>
    </row>
    <row r="59">
      <c r="A59" s="4" t="n"/>
      <c r="B59" s="4" t="n"/>
      <c r="C59" s="5">
        <f>IF(AND(ISNUMBER(A59),ISNUMBER(B59),ISNUMBER($K$2),ISNUMBER($K$3),$K$3&gt;$K$2),(B59-$K$2)/($K$3-$K$2),"")</f>
        <v/>
      </c>
      <c r="D59" s="5">
        <f>IF(ISNUMBER(C59),IF(B59&lt;$K$3,LN(($K$3-$K$2)/($K$3-B59)),""),"")</f>
        <v/>
      </c>
      <c r="E59" s="5">
        <f>IF(AND(ISNUMBER(C59),ISNUMBER(D59),C59&gt;=0.2,C59&lt;=0.8),D59,"")</f>
        <v/>
      </c>
      <c r="F59" s="5">
        <f>IF(ISNUMBER(E59),A59,"")</f>
        <v/>
      </c>
      <c r="G59" s="5">
        <f>IF(AND(ISNUMBER(E59),ISNUMBER($K$4)),E59-($K$7+$K$4*A59),"")</f>
        <v/>
      </c>
    </row>
    <row r="60">
      <c r="A60" s="4" t="n"/>
      <c r="B60" s="4" t="n"/>
      <c r="C60" s="5">
        <f>IF(AND(ISNUMBER(A60),ISNUMBER(B60),ISNUMBER($K$2),ISNUMBER($K$3),$K$3&gt;$K$2),(B60-$K$2)/($K$3-$K$2),"")</f>
        <v/>
      </c>
      <c r="D60" s="5">
        <f>IF(ISNUMBER(C60),IF(B60&lt;$K$3,LN(($K$3-$K$2)/($K$3-B60)),""),"")</f>
        <v/>
      </c>
      <c r="E60" s="5">
        <f>IF(AND(ISNUMBER(C60),ISNUMBER(D60),C60&gt;=0.2,C60&lt;=0.8),D60,"")</f>
        <v/>
      </c>
      <c r="F60" s="5">
        <f>IF(ISNUMBER(E60),A60,"")</f>
        <v/>
      </c>
      <c r="G60" s="5">
        <f>IF(AND(ISNUMBER(E60),ISNUMBER($K$4)),E60-($K$7+$K$4*A60),"")</f>
        <v/>
      </c>
    </row>
    <row r="61">
      <c r="A61" s="4" t="n"/>
      <c r="B61" s="4" t="n"/>
      <c r="C61" s="5">
        <f>IF(AND(ISNUMBER(A61),ISNUMBER(B61),ISNUMBER($K$2),ISNUMBER($K$3),$K$3&gt;$K$2),(B61-$K$2)/($K$3-$K$2),"")</f>
        <v/>
      </c>
      <c r="D61" s="5">
        <f>IF(ISNUMBER(C61),IF(B61&lt;$K$3,LN(($K$3-$K$2)/($K$3-B61)),""),"")</f>
        <v/>
      </c>
      <c r="E61" s="5">
        <f>IF(AND(ISNUMBER(C61),ISNUMBER(D61),C61&gt;=0.2,C61&lt;=0.8),D61,"")</f>
        <v/>
      </c>
      <c r="F61" s="5">
        <f>IF(ISNUMBER(E61),A61,"")</f>
        <v/>
      </c>
      <c r="G61" s="5">
        <f>IF(AND(ISNUMBER(E61),ISNUMBER($K$4)),E61-($K$7+$K$4*A61),"")</f>
        <v/>
      </c>
    </row>
    <row r="62">
      <c r="A62" s="4" t="n"/>
      <c r="B62" s="4" t="n"/>
      <c r="C62" s="5">
        <f>IF(AND(ISNUMBER(A62),ISNUMBER(B62),ISNUMBER($K$2),ISNUMBER($K$3),$K$3&gt;$K$2),(B62-$K$2)/($K$3-$K$2),"")</f>
        <v/>
      </c>
      <c r="D62" s="5">
        <f>IF(ISNUMBER(C62),IF(B62&lt;$K$3,LN(($K$3-$K$2)/($K$3-B62)),""),"")</f>
        <v/>
      </c>
      <c r="E62" s="5">
        <f>IF(AND(ISNUMBER(C62),ISNUMBER(D62),C62&gt;=0.2,C62&lt;=0.8),D62,"")</f>
        <v/>
      </c>
      <c r="F62" s="5">
        <f>IF(ISNUMBER(E62),A62,"")</f>
        <v/>
      </c>
      <c r="G62" s="5">
        <f>IF(AND(ISNUMBER(E62),ISNUMBER($K$4)),E62-($K$7+$K$4*A62),"")</f>
        <v/>
      </c>
    </row>
    <row r="63">
      <c r="A63" s="4" t="n"/>
      <c r="B63" s="4" t="n"/>
      <c r="C63" s="5">
        <f>IF(AND(ISNUMBER(A63),ISNUMBER(B63),ISNUMBER($K$2),ISNUMBER($K$3),$K$3&gt;$K$2),(B63-$K$2)/($K$3-$K$2),"")</f>
        <v/>
      </c>
      <c r="D63" s="5">
        <f>IF(ISNUMBER(C63),IF(B63&lt;$K$3,LN(($K$3-$K$2)/($K$3-B63)),""),"")</f>
        <v/>
      </c>
      <c r="E63" s="5">
        <f>IF(AND(ISNUMBER(C63),ISNUMBER(D63),C63&gt;=0.2,C63&lt;=0.8),D63,"")</f>
        <v/>
      </c>
      <c r="F63" s="5">
        <f>IF(ISNUMBER(E63),A63,"")</f>
        <v/>
      </c>
      <c r="G63" s="5">
        <f>IF(AND(ISNUMBER(E63),ISNUMBER($K$4)),E63-($K$7+$K$4*A63),"")</f>
        <v/>
      </c>
    </row>
    <row r="64">
      <c r="A64" s="4" t="n"/>
      <c r="B64" s="4" t="n"/>
      <c r="C64" s="5">
        <f>IF(AND(ISNUMBER(A64),ISNUMBER(B64),ISNUMBER($K$2),ISNUMBER($K$3),$K$3&gt;$K$2),(B64-$K$2)/($K$3-$K$2),"")</f>
        <v/>
      </c>
      <c r="D64" s="5">
        <f>IF(ISNUMBER(C64),IF(B64&lt;$K$3,LN(($K$3-$K$2)/($K$3-B64)),""),"")</f>
        <v/>
      </c>
      <c r="E64" s="5">
        <f>IF(AND(ISNUMBER(C64),ISNUMBER(D64),C64&gt;=0.2,C64&lt;=0.8),D64,"")</f>
        <v/>
      </c>
      <c r="F64" s="5">
        <f>IF(ISNUMBER(E64),A64,"")</f>
        <v/>
      </c>
      <c r="G64" s="5">
        <f>IF(AND(ISNUMBER(E64),ISNUMBER($K$4)),E64-($K$7+$K$4*A64),"")</f>
        <v/>
      </c>
    </row>
    <row r="65">
      <c r="A65" s="4" t="n"/>
      <c r="B65" s="4" t="n"/>
      <c r="C65" s="5">
        <f>IF(AND(ISNUMBER(A65),ISNUMBER(B65),ISNUMBER($K$2),ISNUMBER($K$3),$K$3&gt;$K$2),(B65-$K$2)/($K$3-$K$2),"")</f>
        <v/>
      </c>
      <c r="D65" s="5">
        <f>IF(ISNUMBER(C65),IF(B65&lt;$K$3,LN(($K$3-$K$2)/($K$3-B65)),""),"")</f>
        <v/>
      </c>
      <c r="E65" s="5">
        <f>IF(AND(ISNUMBER(C65),ISNUMBER(D65),C65&gt;=0.2,C65&lt;=0.8),D65,"")</f>
        <v/>
      </c>
      <c r="F65" s="5">
        <f>IF(ISNUMBER(E65),A65,"")</f>
        <v/>
      </c>
      <c r="G65" s="5">
        <f>IF(AND(ISNUMBER(E65),ISNUMBER($K$4)),E65-($K$7+$K$4*A65),"")</f>
        <v/>
      </c>
    </row>
    <row r="66">
      <c r="A66" s="4" t="n"/>
      <c r="B66" s="4" t="n"/>
      <c r="C66" s="5">
        <f>IF(AND(ISNUMBER(A66),ISNUMBER(B66),ISNUMBER($K$2),ISNUMBER($K$3),$K$3&gt;$K$2),(B66-$K$2)/($K$3-$K$2),"")</f>
        <v/>
      </c>
      <c r="D66" s="5">
        <f>IF(ISNUMBER(C66),IF(B66&lt;$K$3,LN(($K$3-$K$2)/($K$3-B66)),""),"")</f>
        <v/>
      </c>
      <c r="E66" s="5">
        <f>IF(AND(ISNUMBER(C66),ISNUMBER(D66),C66&gt;=0.2,C66&lt;=0.8),D66,"")</f>
        <v/>
      </c>
      <c r="F66" s="5">
        <f>IF(ISNUMBER(E66),A66,"")</f>
        <v/>
      </c>
      <c r="G66" s="5">
        <f>IF(AND(ISNUMBER(E66),ISNUMBER($K$4)),E66-($K$7+$K$4*A66),"")</f>
        <v/>
      </c>
    </row>
    <row r="67">
      <c r="A67" s="4" t="n"/>
      <c r="B67" s="4" t="n"/>
      <c r="C67" s="5">
        <f>IF(AND(ISNUMBER(A67),ISNUMBER(B67),ISNUMBER($K$2),ISNUMBER($K$3),$K$3&gt;$K$2),(B67-$K$2)/($K$3-$K$2),"")</f>
        <v/>
      </c>
      <c r="D67" s="5">
        <f>IF(ISNUMBER(C67),IF(B67&lt;$K$3,LN(($K$3-$K$2)/($K$3-B67)),""),"")</f>
        <v/>
      </c>
      <c r="E67" s="5">
        <f>IF(AND(ISNUMBER(C67),ISNUMBER(D67),C67&gt;=0.2,C67&lt;=0.8),D67,"")</f>
        <v/>
      </c>
      <c r="F67" s="5">
        <f>IF(ISNUMBER(E67),A67,"")</f>
        <v/>
      </c>
      <c r="G67" s="5">
        <f>IF(AND(ISNUMBER(E67),ISNUMBER($K$4)),E67-($K$7+$K$4*A67),"")</f>
        <v/>
      </c>
    </row>
    <row r="68">
      <c r="A68" s="4" t="n"/>
      <c r="B68" s="4" t="n"/>
      <c r="C68" s="5">
        <f>IF(AND(ISNUMBER(A68),ISNUMBER(B68),ISNUMBER($K$2),ISNUMBER($K$3),$K$3&gt;$K$2),(B68-$K$2)/($K$3-$K$2),"")</f>
        <v/>
      </c>
      <c r="D68" s="5">
        <f>IF(ISNUMBER(C68),IF(B68&lt;$K$3,LN(($K$3-$K$2)/($K$3-B68)),""),"")</f>
        <v/>
      </c>
      <c r="E68" s="5">
        <f>IF(AND(ISNUMBER(C68),ISNUMBER(D68),C68&gt;=0.2,C68&lt;=0.8),D68,"")</f>
        <v/>
      </c>
      <c r="F68" s="5">
        <f>IF(ISNUMBER(E68),A68,"")</f>
        <v/>
      </c>
      <c r="G68" s="5">
        <f>IF(AND(ISNUMBER(E68),ISNUMBER($K$4)),E68-($K$7+$K$4*A68),"")</f>
        <v/>
      </c>
    </row>
    <row r="69">
      <c r="A69" s="4" t="n"/>
      <c r="B69" s="4" t="n"/>
      <c r="C69" s="5">
        <f>IF(AND(ISNUMBER(A69),ISNUMBER(B69),ISNUMBER($K$2),ISNUMBER($K$3),$K$3&gt;$K$2),(B69-$K$2)/($K$3-$K$2),"")</f>
        <v/>
      </c>
      <c r="D69" s="5">
        <f>IF(ISNUMBER(C69),IF(B69&lt;$K$3,LN(($K$3-$K$2)/($K$3-B69)),""),"")</f>
        <v/>
      </c>
      <c r="E69" s="5">
        <f>IF(AND(ISNUMBER(C69),ISNUMBER(D69),C69&gt;=0.2,C69&lt;=0.8),D69,"")</f>
        <v/>
      </c>
      <c r="F69" s="5">
        <f>IF(ISNUMBER(E69),A69,"")</f>
        <v/>
      </c>
      <c r="G69" s="5">
        <f>IF(AND(ISNUMBER(E69),ISNUMBER($K$4)),E69-($K$7+$K$4*A69),"")</f>
        <v/>
      </c>
    </row>
    <row r="70">
      <c r="A70" s="4" t="n"/>
      <c r="B70" s="4" t="n"/>
      <c r="C70" s="5">
        <f>IF(AND(ISNUMBER(A70),ISNUMBER(B70),ISNUMBER($K$2),ISNUMBER($K$3),$K$3&gt;$K$2),(B70-$K$2)/($K$3-$K$2),"")</f>
        <v/>
      </c>
      <c r="D70" s="5">
        <f>IF(ISNUMBER(C70),IF(B70&lt;$K$3,LN(($K$3-$K$2)/($K$3-B70)),""),"")</f>
        <v/>
      </c>
      <c r="E70" s="5">
        <f>IF(AND(ISNUMBER(C70),ISNUMBER(D70),C70&gt;=0.2,C70&lt;=0.8),D70,"")</f>
        <v/>
      </c>
      <c r="F70" s="5">
        <f>IF(ISNUMBER(E70),A70,"")</f>
        <v/>
      </c>
      <c r="G70" s="5">
        <f>IF(AND(ISNUMBER(E70),ISNUMBER($K$4)),E70-($K$7+$K$4*A70),"")</f>
        <v/>
      </c>
    </row>
    <row r="71">
      <c r="A71" s="4" t="n"/>
      <c r="B71" s="4" t="n"/>
      <c r="C71" s="5">
        <f>IF(AND(ISNUMBER(A71),ISNUMBER(B71),ISNUMBER($K$2),ISNUMBER($K$3),$K$3&gt;$K$2),(B71-$K$2)/($K$3-$K$2),"")</f>
        <v/>
      </c>
      <c r="D71" s="5">
        <f>IF(ISNUMBER(C71),IF(B71&lt;$K$3,LN(($K$3-$K$2)/($K$3-B71)),""),"")</f>
        <v/>
      </c>
      <c r="E71" s="5">
        <f>IF(AND(ISNUMBER(C71),ISNUMBER(D71),C71&gt;=0.2,C71&lt;=0.8),D71,"")</f>
        <v/>
      </c>
      <c r="F71" s="5">
        <f>IF(ISNUMBER(E71),A71,"")</f>
        <v/>
      </c>
      <c r="G71" s="5">
        <f>IF(AND(ISNUMBER(E71),ISNUMBER($K$4)),E71-($K$7+$K$4*A71),"")</f>
        <v/>
      </c>
    </row>
    <row r="72">
      <c r="A72" s="4" t="n"/>
      <c r="B72" s="4" t="n"/>
      <c r="C72" s="5">
        <f>IF(AND(ISNUMBER(A72),ISNUMBER(B72),ISNUMBER($K$2),ISNUMBER($K$3),$K$3&gt;$K$2),(B72-$K$2)/($K$3-$K$2),"")</f>
        <v/>
      </c>
      <c r="D72" s="5">
        <f>IF(ISNUMBER(C72),IF(B72&lt;$K$3,LN(($K$3-$K$2)/($K$3-B72)),""),"")</f>
        <v/>
      </c>
      <c r="E72" s="5">
        <f>IF(AND(ISNUMBER(C72),ISNUMBER(D72),C72&gt;=0.2,C72&lt;=0.8),D72,"")</f>
        <v/>
      </c>
      <c r="F72" s="5">
        <f>IF(ISNUMBER(E72),A72,"")</f>
        <v/>
      </c>
      <c r="G72" s="5">
        <f>IF(AND(ISNUMBER(E72),ISNUMBER($K$4)),E72-($K$7+$K$4*A72),"")</f>
        <v/>
      </c>
    </row>
    <row r="73">
      <c r="A73" s="4" t="n"/>
      <c r="B73" s="4" t="n"/>
      <c r="C73" s="5">
        <f>IF(AND(ISNUMBER(A73),ISNUMBER(B73),ISNUMBER($K$2),ISNUMBER($K$3),$K$3&gt;$K$2),(B73-$K$2)/($K$3-$K$2),"")</f>
        <v/>
      </c>
      <c r="D73" s="5">
        <f>IF(ISNUMBER(C73),IF(B73&lt;$K$3,LN(($K$3-$K$2)/($K$3-B73)),""),"")</f>
        <v/>
      </c>
      <c r="E73" s="5">
        <f>IF(AND(ISNUMBER(C73),ISNUMBER(D73),C73&gt;=0.2,C73&lt;=0.8),D73,"")</f>
        <v/>
      </c>
      <c r="F73" s="5">
        <f>IF(ISNUMBER(E73),A73,"")</f>
        <v/>
      </c>
      <c r="G73" s="5">
        <f>IF(AND(ISNUMBER(E73),ISNUMBER($K$4)),E73-($K$7+$K$4*A73),"")</f>
        <v/>
      </c>
    </row>
    <row r="74">
      <c r="A74" s="4" t="n"/>
      <c r="B74" s="4" t="n"/>
      <c r="C74" s="5">
        <f>IF(AND(ISNUMBER(A74),ISNUMBER(B74),ISNUMBER($K$2),ISNUMBER($K$3),$K$3&gt;$K$2),(B74-$K$2)/($K$3-$K$2),"")</f>
        <v/>
      </c>
      <c r="D74" s="5">
        <f>IF(ISNUMBER(C74),IF(B74&lt;$K$3,LN(($K$3-$K$2)/($K$3-B74)),""),"")</f>
        <v/>
      </c>
      <c r="E74" s="5">
        <f>IF(AND(ISNUMBER(C74),ISNUMBER(D74),C74&gt;=0.2,C74&lt;=0.8),D74,"")</f>
        <v/>
      </c>
      <c r="F74" s="5">
        <f>IF(ISNUMBER(E74),A74,"")</f>
        <v/>
      </c>
      <c r="G74" s="5">
        <f>IF(AND(ISNUMBER(E74),ISNUMBER($K$4)),E74-($K$7+$K$4*A74),"")</f>
        <v/>
      </c>
    </row>
    <row r="75">
      <c r="A75" s="4" t="n"/>
      <c r="B75" s="4" t="n"/>
      <c r="C75" s="5">
        <f>IF(AND(ISNUMBER(A75),ISNUMBER(B75),ISNUMBER($K$2),ISNUMBER($K$3),$K$3&gt;$K$2),(B75-$K$2)/($K$3-$K$2),"")</f>
        <v/>
      </c>
      <c r="D75" s="5">
        <f>IF(ISNUMBER(C75),IF(B75&lt;$K$3,LN(($K$3-$K$2)/($K$3-B75)),""),"")</f>
        <v/>
      </c>
      <c r="E75" s="5">
        <f>IF(AND(ISNUMBER(C75),ISNUMBER(D75),C75&gt;=0.2,C75&lt;=0.8),D75,"")</f>
        <v/>
      </c>
      <c r="F75" s="5">
        <f>IF(ISNUMBER(E75),A75,"")</f>
        <v/>
      </c>
      <c r="G75" s="5">
        <f>IF(AND(ISNUMBER(E75),ISNUMBER($K$4)),E75-($K$7+$K$4*A75),"")</f>
        <v/>
      </c>
    </row>
    <row r="76">
      <c r="A76" s="4" t="n"/>
      <c r="B76" s="4" t="n"/>
      <c r="C76" s="5">
        <f>IF(AND(ISNUMBER(A76),ISNUMBER(B76),ISNUMBER($K$2),ISNUMBER($K$3),$K$3&gt;$K$2),(B76-$K$2)/($K$3-$K$2),"")</f>
        <v/>
      </c>
      <c r="D76" s="5">
        <f>IF(ISNUMBER(C76),IF(B76&lt;$K$3,LN(($K$3-$K$2)/($K$3-B76)),""),"")</f>
        <v/>
      </c>
      <c r="E76" s="5">
        <f>IF(AND(ISNUMBER(C76),ISNUMBER(D76),C76&gt;=0.2,C76&lt;=0.8),D76,"")</f>
        <v/>
      </c>
      <c r="F76" s="5">
        <f>IF(ISNUMBER(E76),A76,"")</f>
        <v/>
      </c>
      <c r="G76" s="5">
        <f>IF(AND(ISNUMBER(E76),ISNUMBER($K$4)),E76-($K$7+$K$4*A76),"")</f>
        <v/>
      </c>
    </row>
    <row r="77">
      <c r="A77" s="4" t="n"/>
      <c r="B77" s="4" t="n"/>
      <c r="C77" s="5">
        <f>IF(AND(ISNUMBER(A77),ISNUMBER(B77),ISNUMBER($K$2),ISNUMBER($K$3),$K$3&gt;$K$2),(B77-$K$2)/($K$3-$K$2),"")</f>
        <v/>
      </c>
      <c r="D77" s="5">
        <f>IF(ISNUMBER(C77),IF(B77&lt;$K$3,LN(($K$3-$K$2)/($K$3-B77)),""),"")</f>
        <v/>
      </c>
      <c r="E77" s="5">
        <f>IF(AND(ISNUMBER(C77),ISNUMBER(D77),C77&gt;=0.2,C77&lt;=0.8),D77,"")</f>
        <v/>
      </c>
      <c r="F77" s="5">
        <f>IF(ISNUMBER(E77),A77,"")</f>
        <v/>
      </c>
      <c r="G77" s="5">
        <f>IF(AND(ISNUMBER(E77),ISNUMBER($K$4)),E77-($K$7+$K$4*A77),"")</f>
        <v/>
      </c>
    </row>
    <row r="78">
      <c r="A78" s="4" t="n"/>
      <c r="B78" s="4" t="n"/>
      <c r="C78" s="5">
        <f>IF(AND(ISNUMBER(A78),ISNUMBER(B78),ISNUMBER($K$2),ISNUMBER($K$3),$K$3&gt;$K$2),(B78-$K$2)/($K$3-$K$2),"")</f>
        <v/>
      </c>
      <c r="D78" s="5">
        <f>IF(ISNUMBER(C78),IF(B78&lt;$K$3,LN(($K$3-$K$2)/($K$3-B78)),""),"")</f>
        <v/>
      </c>
      <c r="E78" s="5">
        <f>IF(AND(ISNUMBER(C78),ISNUMBER(D78),C78&gt;=0.2,C78&lt;=0.8),D78,"")</f>
        <v/>
      </c>
      <c r="F78" s="5">
        <f>IF(ISNUMBER(E78),A78,"")</f>
        <v/>
      </c>
      <c r="G78" s="5">
        <f>IF(AND(ISNUMBER(E78),ISNUMBER($K$4)),E78-($K$7+$K$4*A78),"")</f>
        <v/>
      </c>
    </row>
    <row r="79">
      <c r="A79" s="4" t="n"/>
      <c r="B79" s="4" t="n"/>
      <c r="C79" s="5">
        <f>IF(AND(ISNUMBER(A79),ISNUMBER(B79),ISNUMBER($K$2),ISNUMBER($K$3),$K$3&gt;$K$2),(B79-$K$2)/($K$3-$K$2),"")</f>
        <v/>
      </c>
      <c r="D79" s="5">
        <f>IF(ISNUMBER(C79),IF(B79&lt;$K$3,LN(($K$3-$K$2)/($K$3-B79)),""),"")</f>
        <v/>
      </c>
      <c r="E79" s="5">
        <f>IF(AND(ISNUMBER(C79),ISNUMBER(D79),C79&gt;=0.2,C79&lt;=0.8),D79,"")</f>
        <v/>
      </c>
      <c r="F79" s="5">
        <f>IF(ISNUMBER(E79),A79,"")</f>
        <v/>
      </c>
      <c r="G79" s="5">
        <f>IF(AND(ISNUMBER(E79),ISNUMBER($K$4)),E79-($K$7+$K$4*A79),"")</f>
        <v/>
      </c>
    </row>
    <row r="80">
      <c r="A80" s="4" t="n"/>
      <c r="B80" s="4" t="n"/>
      <c r="C80" s="5">
        <f>IF(AND(ISNUMBER(A80),ISNUMBER(B80),ISNUMBER($K$2),ISNUMBER($K$3),$K$3&gt;$K$2),(B80-$K$2)/($K$3-$K$2),"")</f>
        <v/>
      </c>
      <c r="D80" s="5">
        <f>IF(ISNUMBER(C80),IF(B80&lt;$K$3,LN(($K$3-$K$2)/($K$3-B80)),""),"")</f>
        <v/>
      </c>
      <c r="E80" s="5">
        <f>IF(AND(ISNUMBER(C80),ISNUMBER(D80),C80&gt;=0.2,C80&lt;=0.8),D80,"")</f>
        <v/>
      </c>
      <c r="F80" s="5">
        <f>IF(ISNUMBER(E80),A80,"")</f>
        <v/>
      </c>
      <c r="G80" s="5">
        <f>IF(AND(ISNUMBER(E80),ISNUMBER($K$4)),E80-($K$7+$K$4*A80),"")</f>
        <v/>
      </c>
    </row>
    <row r="81">
      <c r="A81" s="4" t="n"/>
      <c r="B81" s="4" t="n"/>
      <c r="C81" s="5">
        <f>IF(AND(ISNUMBER(A81),ISNUMBER(B81),ISNUMBER($K$2),ISNUMBER($K$3),$K$3&gt;$K$2),(B81-$K$2)/($K$3-$K$2),"")</f>
        <v/>
      </c>
      <c r="D81" s="5">
        <f>IF(ISNUMBER(C81),IF(B81&lt;$K$3,LN(($K$3-$K$2)/($K$3-B81)),""),"")</f>
        <v/>
      </c>
      <c r="E81" s="5">
        <f>IF(AND(ISNUMBER(C81),ISNUMBER(D81),C81&gt;=0.2,C81&lt;=0.8),D81,"")</f>
        <v/>
      </c>
      <c r="F81" s="5">
        <f>IF(ISNUMBER(E81),A81,"")</f>
        <v/>
      </c>
      <c r="G81" s="5">
        <f>IF(AND(ISNUMBER(E81),ISNUMBER($K$4)),E81-($K$7+$K$4*A81),"")</f>
        <v/>
      </c>
    </row>
    <row r="82">
      <c r="A82" s="4" t="n"/>
      <c r="B82" s="4" t="n"/>
      <c r="C82" s="5">
        <f>IF(AND(ISNUMBER(A82),ISNUMBER(B82),ISNUMBER($K$2),ISNUMBER($K$3),$K$3&gt;$K$2),(B82-$K$2)/($K$3-$K$2),"")</f>
        <v/>
      </c>
      <c r="D82" s="5">
        <f>IF(ISNUMBER(C82),IF(B82&lt;$K$3,LN(($K$3-$K$2)/($K$3-B82)),""),"")</f>
        <v/>
      </c>
      <c r="E82" s="5">
        <f>IF(AND(ISNUMBER(C82),ISNUMBER(D82),C82&gt;=0.2,C82&lt;=0.8),D82,"")</f>
        <v/>
      </c>
      <c r="F82" s="5">
        <f>IF(ISNUMBER(E82),A82,"")</f>
        <v/>
      </c>
      <c r="G82" s="5">
        <f>IF(AND(ISNUMBER(E82),ISNUMBER($K$4)),E82-($K$7+$K$4*A82),"")</f>
        <v/>
      </c>
    </row>
    <row r="83">
      <c r="A83" s="4" t="n"/>
      <c r="B83" s="4" t="n"/>
      <c r="C83" s="5">
        <f>IF(AND(ISNUMBER(A83),ISNUMBER(B83),ISNUMBER($K$2),ISNUMBER($K$3),$K$3&gt;$K$2),(B83-$K$2)/($K$3-$K$2),"")</f>
        <v/>
      </c>
      <c r="D83" s="5">
        <f>IF(ISNUMBER(C83),IF(B83&lt;$K$3,LN(($K$3-$K$2)/($K$3-B83)),""),"")</f>
        <v/>
      </c>
      <c r="E83" s="5">
        <f>IF(AND(ISNUMBER(C83),ISNUMBER(D83),C83&gt;=0.2,C83&lt;=0.8),D83,"")</f>
        <v/>
      </c>
      <c r="F83" s="5">
        <f>IF(ISNUMBER(E83),A83,"")</f>
        <v/>
      </c>
      <c r="G83" s="5">
        <f>IF(AND(ISNUMBER(E83),ISNUMBER($K$4)),E83-($K$7+$K$4*A83),"")</f>
        <v/>
      </c>
    </row>
    <row r="84">
      <c r="A84" s="4" t="n"/>
      <c r="B84" s="4" t="n"/>
      <c r="C84" s="5">
        <f>IF(AND(ISNUMBER(A84),ISNUMBER(B84),ISNUMBER($K$2),ISNUMBER($K$3),$K$3&gt;$K$2),(B84-$K$2)/($K$3-$K$2),"")</f>
        <v/>
      </c>
      <c r="D84" s="5">
        <f>IF(ISNUMBER(C84),IF(B84&lt;$K$3,LN(($K$3-$K$2)/($K$3-B84)),""),"")</f>
        <v/>
      </c>
      <c r="E84" s="5">
        <f>IF(AND(ISNUMBER(C84),ISNUMBER(D84),C84&gt;=0.2,C84&lt;=0.8),D84,"")</f>
        <v/>
      </c>
      <c r="F84" s="5">
        <f>IF(ISNUMBER(E84),A84,"")</f>
        <v/>
      </c>
      <c r="G84" s="5">
        <f>IF(AND(ISNUMBER(E84),ISNUMBER($K$4)),E84-($K$7+$K$4*A84),"")</f>
        <v/>
      </c>
    </row>
    <row r="85">
      <c r="A85" s="4" t="n"/>
      <c r="B85" s="4" t="n"/>
      <c r="C85" s="5">
        <f>IF(AND(ISNUMBER(A85),ISNUMBER(B85),ISNUMBER($K$2),ISNUMBER($K$3),$K$3&gt;$K$2),(B85-$K$2)/($K$3-$K$2),"")</f>
        <v/>
      </c>
      <c r="D85" s="5">
        <f>IF(ISNUMBER(C85),IF(B85&lt;$K$3,LN(($K$3-$K$2)/($K$3-B85)),""),"")</f>
        <v/>
      </c>
      <c r="E85" s="5">
        <f>IF(AND(ISNUMBER(C85),ISNUMBER(D85),C85&gt;=0.2,C85&lt;=0.8),D85,"")</f>
        <v/>
      </c>
      <c r="F85" s="5">
        <f>IF(ISNUMBER(E85),A85,"")</f>
        <v/>
      </c>
      <c r="G85" s="5">
        <f>IF(AND(ISNUMBER(E85),ISNUMBER($K$4)),E85-($K$7+$K$4*A85),"")</f>
        <v/>
      </c>
    </row>
    <row r="86">
      <c r="A86" s="4" t="n"/>
      <c r="B86" s="4" t="n"/>
      <c r="C86" s="5">
        <f>IF(AND(ISNUMBER(A86),ISNUMBER(B86),ISNUMBER($K$2),ISNUMBER($K$3),$K$3&gt;$K$2),(B86-$K$2)/($K$3-$K$2),"")</f>
        <v/>
      </c>
      <c r="D86" s="5">
        <f>IF(ISNUMBER(C86),IF(B86&lt;$K$3,LN(($K$3-$K$2)/($K$3-B86)),""),"")</f>
        <v/>
      </c>
      <c r="E86" s="5">
        <f>IF(AND(ISNUMBER(C86),ISNUMBER(D86),C86&gt;=0.2,C86&lt;=0.8),D86,"")</f>
        <v/>
      </c>
      <c r="F86" s="5">
        <f>IF(ISNUMBER(E86),A86,"")</f>
        <v/>
      </c>
      <c r="G86" s="5">
        <f>IF(AND(ISNUMBER(E86),ISNUMBER($K$4)),E86-($K$7+$K$4*A86),"")</f>
        <v/>
      </c>
    </row>
    <row r="87">
      <c r="A87" s="4" t="n"/>
      <c r="B87" s="4" t="n"/>
      <c r="C87" s="5">
        <f>IF(AND(ISNUMBER(A87),ISNUMBER(B87),ISNUMBER($K$2),ISNUMBER($K$3),$K$3&gt;$K$2),(B87-$K$2)/($K$3-$K$2),"")</f>
        <v/>
      </c>
      <c r="D87" s="5">
        <f>IF(ISNUMBER(C87),IF(B87&lt;$K$3,LN(($K$3-$K$2)/($K$3-B87)),""),"")</f>
        <v/>
      </c>
      <c r="E87" s="5">
        <f>IF(AND(ISNUMBER(C87),ISNUMBER(D87),C87&gt;=0.2,C87&lt;=0.8),D87,"")</f>
        <v/>
      </c>
      <c r="F87" s="5">
        <f>IF(ISNUMBER(E87),A87,"")</f>
        <v/>
      </c>
      <c r="G87" s="5">
        <f>IF(AND(ISNUMBER(E87),ISNUMBER($K$4)),E87-($K$7+$K$4*A87),"")</f>
        <v/>
      </c>
    </row>
    <row r="88">
      <c r="A88" s="4" t="n"/>
      <c r="B88" s="4" t="n"/>
      <c r="C88" s="5">
        <f>IF(AND(ISNUMBER(A88),ISNUMBER(B88),ISNUMBER($K$2),ISNUMBER($K$3),$K$3&gt;$K$2),(B88-$K$2)/($K$3-$K$2),"")</f>
        <v/>
      </c>
      <c r="D88" s="5">
        <f>IF(ISNUMBER(C88),IF(B88&lt;$K$3,LN(($K$3-$K$2)/($K$3-B88)),""),"")</f>
        <v/>
      </c>
      <c r="E88" s="5">
        <f>IF(AND(ISNUMBER(C88),ISNUMBER(D88),C88&gt;=0.2,C88&lt;=0.8),D88,"")</f>
        <v/>
      </c>
      <c r="F88" s="5">
        <f>IF(ISNUMBER(E88),A88,"")</f>
        <v/>
      </c>
      <c r="G88" s="5">
        <f>IF(AND(ISNUMBER(E88),ISNUMBER($K$4)),E88-($K$7+$K$4*A88),"")</f>
        <v/>
      </c>
    </row>
    <row r="89">
      <c r="A89" s="4" t="n"/>
      <c r="B89" s="4" t="n"/>
      <c r="C89" s="5">
        <f>IF(AND(ISNUMBER(A89),ISNUMBER(B89),ISNUMBER($K$2),ISNUMBER($K$3),$K$3&gt;$K$2),(B89-$K$2)/($K$3-$K$2),"")</f>
        <v/>
      </c>
      <c r="D89" s="5">
        <f>IF(ISNUMBER(C89),IF(B89&lt;$K$3,LN(($K$3-$K$2)/($K$3-B89)),""),"")</f>
        <v/>
      </c>
      <c r="E89" s="5">
        <f>IF(AND(ISNUMBER(C89),ISNUMBER(D89),C89&gt;=0.2,C89&lt;=0.8),D89,"")</f>
        <v/>
      </c>
      <c r="F89" s="5">
        <f>IF(ISNUMBER(E89),A89,"")</f>
        <v/>
      </c>
      <c r="G89" s="5">
        <f>IF(AND(ISNUMBER(E89),ISNUMBER($K$4)),E89-($K$7+$K$4*A89),"")</f>
        <v/>
      </c>
    </row>
    <row r="90">
      <c r="A90" s="4" t="n"/>
      <c r="B90" s="4" t="n"/>
      <c r="C90" s="5">
        <f>IF(AND(ISNUMBER(A90),ISNUMBER(B90),ISNUMBER($K$2),ISNUMBER($K$3),$K$3&gt;$K$2),(B90-$K$2)/($K$3-$K$2),"")</f>
        <v/>
      </c>
      <c r="D90" s="5">
        <f>IF(ISNUMBER(C90),IF(B90&lt;$K$3,LN(($K$3-$K$2)/($K$3-B90)),""),"")</f>
        <v/>
      </c>
      <c r="E90" s="5">
        <f>IF(AND(ISNUMBER(C90),ISNUMBER(D90),C90&gt;=0.2,C90&lt;=0.8),D90,"")</f>
        <v/>
      </c>
      <c r="F90" s="5">
        <f>IF(ISNUMBER(E90),A90,"")</f>
        <v/>
      </c>
      <c r="G90" s="5">
        <f>IF(AND(ISNUMBER(E90),ISNUMBER($K$4)),E90-($K$7+$K$4*A90),"")</f>
        <v/>
      </c>
    </row>
    <row r="91">
      <c r="A91" s="4" t="n"/>
      <c r="B91" s="4" t="n"/>
      <c r="C91" s="5">
        <f>IF(AND(ISNUMBER(A91),ISNUMBER(B91),ISNUMBER($K$2),ISNUMBER($K$3),$K$3&gt;$K$2),(B91-$K$2)/($K$3-$K$2),"")</f>
        <v/>
      </c>
      <c r="D91" s="5">
        <f>IF(ISNUMBER(C91),IF(B91&lt;$K$3,LN(($K$3-$K$2)/($K$3-B91)),""),"")</f>
        <v/>
      </c>
      <c r="E91" s="5">
        <f>IF(AND(ISNUMBER(C91),ISNUMBER(D91),C91&gt;=0.2,C91&lt;=0.8),D91,"")</f>
        <v/>
      </c>
      <c r="F91" s="5">
        <f>IF(ISNUMBER(E91),A91,"")</f>
        <v/>
      </c>
      <c r="G91" s="5">
        <f>IF(AND(ISNUMBER(E91),ISNUMBER($K$4)),E91-($K$7+$K$4*A91),"")</f>
        <v/>
      </c>
    </row>
    <row r="92">
      <c r="A92" s="4" t="n"/>
      <c r="B92" s="4" t="n"/>
      <c r="C92" s="5">
        <f>IF(AND(ISNUMBER(A92),ISNUMBER(B92),ISNUMBER($K$2),ISNUMBER($K$3),$K$3&gt;$K$2),(B92-$K$2)/($K$3-$K$2),"")</f>
        <v/>
      </c>
      <c r="D92" s="5">
        <f>IF(ISNUMBER(C92),IF(B92&lt;$K$3,LN(($K$3-$K$2)/($K$3-B92)),""),"")</f>
        <v/>
      </c>
      <c r="E92" s="5">
        <f>IF(AND(ISNUMBER(C92),ISNUMBER(D92),C92&gt;=0.2,C92&lt;=0.8),D92,"")</f>
        <v/>
      </c>
      <c r="F92" s="5">
        <f>IF(ISNUMBER(E92),A92,"")</f>
        <v/>
      </c>
      <c r="G92" s="5">
        <f>IF(AND(ISNUMBER(E92),ISNUMBER($K$4)),E92-($K$7+$K$4*A92),"")</f>
        <v/>
      </c>
    </row>
    <row r="93">
      <c r="A93" s="4" t="n"/>
      <c r="B93" s="4" t="n"/>
      <c r="C93" s="5">
        <f>IF(AND(ISNUMBER(A93),ISNUMBER(B93),ISNUMBER($K$2),ISNUMBER($K$3),$K$3&gt;$K$2),(B93-$K$2)/($K$3-$K$2),"")</f>
        <v/>
      </c>
      <c r="D93" s="5">
        <f>IF(ISNUMBER(C93),IF(B93&lt;$K$3,LN(($K$3-$K$2)/($K$3-B93)),""),"")</f>
        <v/>
      </c>
      <c r="E93" s="5">
        <f>IF(AND(ISNUMBER(C93),ISNUMBER(D93),C93&gt;=0.2,C93&lt;=0.8),D93,"")</f>
        <v/>
      </c>
      <c r="F93" s="5">
        <f>IF(ISNUMBER(E93),A93,"")</f>
        <v/>
      </c>
      <c r="G93" s="5">
        <f>IF(AND(ISNUMBER(E93),ISNUMBER($K$4)),E93-($K$7+$K$4*A93),"")</f>
        <v/>
      </c>
    </row>
    <row r="94">
      <c r="A94" s="4" t="n"/>
      <c r="B94" s="4" t="n"/>
      <c r="C94" s="5">
        <f>IF(AND(ISNUMBER(A94),ISNUMBER(B94),ISNUMBER($K$2),ISNUMBER($K$3),$K$3&gt;$K$2),(B94-$K$2)/($K$3-$K$2),"")</f>
        <v/>
      </c>
      <c r="D94" s="5">
        <f>IF(ISNUMBER(C94),IF(B94&lt;$K$3,LN(($K$3-$K$2)/($K$3-B94)),""),"")</f>
        <v/>
      </c>
      <c r="E94" s="5">
        <f>IF(AND(ISNUMBER(C94),ISNUMBER(D94),C94&gt;=0.2,C94&lt;=0.8),D94,"")</f>
        <v/>
      </c>
      <c r="F94" s="5">
        <f>IF(ISNUMBER(E94),A94,"")</f>
        <v/>
      </c>
      <c r="G94" s="5">
        <f>IF(AND(ISNUMBER(E94),ISNUMBER($K$4)),E94-($K$7+$K$4*A94),"")</f>
        <v/>
      </c>
    </row>
    <row r="95">
      <c r="A95" s="4" t="n"/>
      <c r="B95" s="4" t="n"/>
      <c r="C95" s="5">
        <f>IF(AND(ISNUMBER(A95),ISNUMBER(B95),ISNUMBER($K$2),ISNUMBER($K$3),$K$3&gt;$K$2),(B95-$K$2)/($K$3-$K$2),"")</f>
        <v/>
      </c>
      <c r="D95" s="5">
        <f>IF(ISNUMBER(C95),IF(B95&lt;$K$3,LN(($K$3-$K$2)/($K$3-B95)),""),"")</f>
        <v/>
      </c>
      <c r="E95" s="5">
        <f>IF(AND(ISNUMBER(C95),ISNUMBER(D95),C95&gt;=0.2,C95&lt;=0.8),D95,"")</f>
        <v/>
      </c>
      <c r="F95" s="5">
        <f>IF(ISNUMBER(E95),A95,"")</f>
        <v/>
      </c>
      <c r="G95" s="5">
        <f>IF(AND(ISNUMBER(E95),ISNUMBER($K$4)),E95-($K$7+$K$4*A95),"")</f>
        <v/>
      </c>
    </row>
    <row r="96">
      <c r="A96" s="4" t="n"/>
      <c r="B96" s="4" t="n"/>
      <c r="C96" s="5">
        <f>IF(AND(ISNUMBER(A96),ISNUMBER(B96),ISNUMBER($K$2),ISNUMBER($K$3),$K$3&gt;$K$2),(B96-$K$2)/($K$3-$K$2),"")</f>
        <v/>
      </c>
      <c r="D96" s="5">
        <f>IF(ISNUMBER(C96),IF(B96&lt;$K$3,LN(($K$3-$K$2)/($K$3-B96)),""),"")</f>
        <v/>
      </c>
      <c r="E96" s="5">
        <f>IF(AND(ISNUMBER(C96),ISNUMBER(D96),C96&gt;=0.2,C96&lt;=0.8),D96,"")</f>
        <v/>
      </c>
      <c r="F96" s="5">
        <f>IF(ISNUMBER(E96),A96,"")</f>
        <v/>
      </c>
      <c r="G96" s="5">
        <f>IF(AND(ISNUMBER(E96),ISNUMBER($K$4)),E96-($K$7+$K$4*A96),"")</f>
        <v/>
      </c>
    </row>
    <row r="97">
      <c r="A97" s="4" t="n"/>
      <c r="B97" s="4" t="n"/>
      <c r="C97" s="5">
        <f>IF(AND(ISNUMBER(A97),ISNUMBER(B97),ISNUMBER($K$2),ISNUMBER($K$3),$K$3&gt;$K$2),(B97-$K$2)/($K$3-$K$2),"")</f>
        <v/>
      </c>
      <c r="D97" s="5">
        <f>IF(ISNUMBER(C97),IF(B97&lt;$K$3,LN(($K$3-$K$2)/($K$3-B97)),""),"")</f>
        <v/>
      </c>
      <c r="E97" s="5">
        <f>IF(AND(ISNUMBER(C97),ISNUMBER(D97),C97&gt;=0.2,C97&lt;=0.8),D97,"")</f>
        <v/>
      </c>
      <c r="F97" s="5">
        <f>IF(ISNUMBER(E97),A97,"")</f>
        <v/>
      </c>
      <c r="G97" s="5">
        <f>IF(AND(ISNUMBER(E97),ISNUMBER($K$4)),E97-($K$7+$K$4*A97),"")</f>
        <v/>
      </c>
    </row>
    <row r="98">
      <c r="A98" s="4" t="n"/>
      <c r="B98" s="4" t="n"/>
      <c r="C98" s="5">
        <f>IF(AND(ISNUMBER(A98),ISNUMBER(B98),ISNUMBER($K$2),ISNUMBER($K$3),$K$3&gt;$K$2),(B98-$K$2)/($K$3-$K$2),"")</f>
        <v/>
      </c>
      <c r="D98" s="5">
        <f>IF(ISNUMBER(C98),IF(B98&lt;$K$3,LN(($K$3-$K$2)/($K$3-B98)),""),"")</f>
        <v/>
      </c>
      <c r="E98" s="5">
        <f>IF(AND(ISNUMBER(C98),ISNUMBER(D98),C98&gt;=0.2,C98&lt;=0.8),D98,"")</f>
        <v/>
      </c>
      <c r="F98" s="5">
        <f>IF(ISNUMBER(E98),A98,"")</f>
        <v/>
      </c>
      <c r="G98" s="5">
        <f>IF(AND(ISNUMBER(E98),ISNUMBER($K$4)),E98-($K$7+$K$4*A98),"")</f>
        <v/>
      </c>
    </row>
    <row r="99">
      <c r="A99" s="4" t="n"/>
      <c r="B99" s="4" t="n"/>
      <c r="C99" s="5">
        <f>IF(AND(ISNUMBER(A99),ISNUMBER(B99),ISNUMBER($K$2),ISNUMBER($K$3),$K$3&gt;$K$2),(B99-$K$2)/($K$3-$K$2),"")</f>
        <v/>
      </c>
      <c r="D99" s="5">
        <f>IF(ISNUMBER(C99),IF(B99&lt;$K$3,LN(($K$3-$K$2)/($K$3-B99)),""),"")</f>
        <v/>
      </c>
      <c r="E99" s="5">
        <f>IF(AND(ISNUMBER(C99),ISNUMBER(D99),C99&gt;=0.2,C99&lt;=0.8),D99,"")</f>
        <v/>
      </c>
      <c r="F99" s="5">
        <f>IF(ISNUMBER(E99),A99,"")</f>
        <v/>
      </c>
      <c r="G99" s="5">
        <f>IF(AND(ISNUMBER(E99),ISNUMBER($K$4)),E99-($K$7+$K$4*A99),"")</f>
        <v/>
      </c>
    </row>
    <row r="100">
      <c r="A100" s="4" t="n"/>
      <c r="B100" s="4" t="n"/>
      <c r="C100" s="5">
        <f>IF(AND(ISNUMBER(A100),ISNUMBER(B100),ISNUMBER($K$2),ISNUMBER($K$3),$K$3&gt;$K$2),(B100-$K$2)/($K$3-$K$2),"")</f>
        <v/>
      </c>
      <c r="D100" s="5">
        <f>IF(ISNUMBER(C100),IF(B100&lt;$K$3,LN(($K$3-$K$2)/($K$3-B100)),""),"")</f>
        <v/>
      </c>
      <c r="E100" s="5">
        <f>IF(AND(ISNUMBER(C100),ISNUMBER(D100),C100&gt;=0.2,C100&lt;=0.8),D100,"")</f>
        <v/>
      </c>
      <c r="F100" s="5">
        <f>IF(ISNUMBER(E100),A100,"")</f>
        <v/>
      </c>
      <c r="G100" s="5">
        <f>IF(AND(ISNUMBER(E100),ISNUMBER($K$4)),E100-($K$7+$K$4*A100),"")</f>
        <v/>
      </c>
    </row>
    <row r="101">
      <c r="A101" s="4" t="n"/>
      <c r="B101" s="4" t="n"/>
      <c r="C101" s="5">
        <f>IF(AND(ISNUMBER(A101),ISNUMBER(B101),ISNUMBER($K$2),ISNUMBER($K$3),$K$3&gt;$K$2),(B101-$K$2)/($K$3-$K$2),"")</f>
        <v/>
      </c>
      <c r="D101" s="5">
        <f>IF(ISNUMBER(C101),IF(B101&lt;$K$3,LN(($K$3-$K$2)/($K$3-B101)),""),"")</f>
        <v/>
      </c>
      <c r="E101" s="5">
        <f>IF(AND(ISNUMBER(C101),ISNUMBER(D101),C101&gt;=0.2,C101&lt;=0.8),D101,"")</f>
        <v/>
      </c>
      <c r="F101" s="5">
        <f>IF(ISNUMBER(E101),A101,"")</f>
        <v/>
      </c>
      <c r="G101" s="5">
        <f>IF(AND(ISNUMBER(E101),ISNUMBER($K$4)),E101-($K$7+$K$4*A101),"")</f>
        <v/>
      </c>
    </row>
    <row r="102">
      <c r="A102" s="4" t="n"/>
      <c r="B102" s="4" t="n"/>
      <c r="C102" s="5">
        <f>IF(AND(ISNUMBER(A102),ISNUMBER(B102),ISNUMBER($K$2),ISNUMBER($K$3),$K$3&gt;$K$2),(B102-$K$2)/($K$3-$K$2),"")</f>
        <v/>
      </c>
      <c r="D102" s="5">
        <f>IF(ISNUMBER(C102),IF(B102&lt;$K$3,LN(($K$3-$K$2)/($K$3-B102)),""),"")</f>
        <v/>
      </c>
      <c r="E102" s="5">
        <f>IF(AND(ISNUMBER(C102),ISNUMBER(D102),C102&gt;=0.2,C102&lt;=0.8),D102,"")</f>
        <v/>
      </c>
      <c r="F102" s="5">
        <f>IF(ISNUMBER(E102),A102,"")</f>
        <v/>
      </c>
      <c r="G102" s="5">
        <f>IF(AND(ISNUMBER(E102),ISNUMBER($K$4)),E102-($K$7+$K$4*A102),"")</f>
        <v/>
      </c>
    </row>
    <row r="103">
      <c r="A103" s="4" t="n"/>
      <c r="B103" s="4" t="n"/>
      <c r="C103" s="5">
        <f>IF(AND(ISNUMBER(A103),ISNUMBER(B103),ISNUMBER($K$2),ISNUMBER($K$3),$K$3&gt;$K$2),(B103-$K$2)/($K$3-$K$2),"")</f>
        <v/>
      </c>
      <c r="D103" s="5">
        <f>IF(ISNUMBER(C103),IF(B103&lt;$K$3,LN(($K$3-$K$2)/($K$3-B103)),""),"")</f>
        <v/>
      </c>
      <c r="E103" s="5">
        <f>IF(AND(ISNUMBER(C103),ISNUMBER(D103),C103&gt;=0.2,C103&lt;=0.8),D103,"")</f>
        <v/>
      </c>
      <c r="F103" s="5">
        <f>IF(ISNUMBER(E103),A103,"")</f>
        <v/>
      </c>
      <c r="G103" s="5">
        <f>IF(AND(ISNUMBER(E103),ISNUMBER($K$4)),E103-($K$7+$K$4*A103),"")</f>
        <v/>
      </c>
    </row>
    <row r="104">
      <c r="A104" s="4" t="n"/>
      <c r="B104" s="4" t="n"/>
      <c r="C104" s="5">
        <f>IF(AND(ISNUMBER(A104),ISNUMBER(B104),ISNUMBER($K$2),ISNUMBER($K$3),$K$3&gt;$K$2),(B104-$K$2)/($K$3-$K$2),"")</f>
        <v/>
      </c>
      <c r="D104" s="5">
        <f>IF(ISNUMBER(C104),IF(B104&lt;$K$3,LN(($K$3-$K$2)/($K$3-B104)),""),"")</f>
        <v/>
      </c>
      <c r="E104" s="5">
        <f>IF(AND(ISNUMBER(C104),ISNUMBER(D104),C104&gt;=0.2,C104&lt;=0.8),D104,"")</f>
        <v/>
      </c>
      <c r="F104" s="5">
        <f>IF(ISNUMBER(E104),A104,"")</f>
        <v/>
      </c>
      <c r="G104" s="5">
        <f>IF(AND(ISNUMBER(E104),ISNUMBER($K$4)),E104-($K$7+$K$4*A104),"")</f>
        <v/>
      </c>
    </row>
    <row r="105">
      <c r="A105" s="4" t="n"/>
      <c r="B105" s="4" t="n"/>
      <c r="C105" s="5">
        <f>IF(AND(ISNUMBER(A105),ISNUMBER(B105),ISNUMBER($K$2),ISNUMBER($K$3),$K$3&gt;$K$2),(B105-$K$2)/($K$3-$K$2),"")</f>
        <v/>
      </c>
      <c r="D105" s="5">
        <f>IF(ISNUMBER(C105),IF(B105&lt;$K$3,LN(($K$3-$K$2)/($K$3-B105)),""),"")</f>
        <v/>
      </c>
      <c r="E105" s="5">
        <f>IF(AND(ISNUMBER(C105),ISNUMBER(D105),C105&gt;=0.2,C105&lt;=0.8),D105,"")</f>
        <v/>
      </c>
      <c r="F105" s="5">
        <f>IF(ISNUMBER(E105),A105,"")</f>
        <v/>
      </c>
      <c r="G105" s="5">
        <f>IF(AND(ISNUMBER(E105),ISNUMBER($K$4)),E105-($K$7+$K$4*A105),"")</f>
        <v/>
      </c>
    </row>
    <row r="106">
      <c r="A106" s="4" t="n"/>
      <c r="B106" s="4" t="n"/>
      <c r="C106" s="5">
        <f>IF(AND(ISNUMBER(A106),ISNUMBER(B106),ISNUMBER($K$2),ISNUMBER($K$3),$K$3&gt;$K$2),(B106-$K$2)/($K$3-$K$2),"")</f>
        <v/>
      </c>
      <c r="D106" s="5">
        <f>IF(ISNUMBER(C106),IF(B106&lt;$K$3,LN(($K$3-$K$2)/($K$3-B106)),""),"")</f>
        <v/>
      </c>
      <c r="E106" s="5">
        <f>IF(AND(ISNUMBER(C106),ISNUMBER(D106),C106&gt;=0.2,C106&lt;=0.8),D106,"")</f>
        <v/>
      </c>
      <c r="F106" s="5">
        <f>IF(ISNUMBER(E106),A106,"")</f>
        <v/>
      </c>
      <c r="G106" s="5">
        <f>IF(AND(ISNUMBER(E106),ISNUMBER($K$4)),E106-($K$7+$K$4*A106),"")</f>
        <v/>
      </c>
    </row>
    <row r="107">
      <c r="A107" s="4" t="n"/>
      <c r="B107" s="4" t="n"/>
      <c r="C107" s="5">
        <f>IF(AND(ISNUMBER(A107),ISNUMBER(B107),ISNUMBER($K$2),ISNUMBER($K$3),$K$3&gt;$K$2),(B107-$K$2)/($K$3-$K$2),"")</f>
        <v/>
      </c>
      <c r="D107" s="5">
        <f>IF(ISNUMBER(C107),IF(B107&lt;$K$3,LN(($K$3-$K$2)/($K$3-B107)),""),"")</f>
        <v/>
      </c>
      <c r="E107" s="5">
        <f>IF(AND(ISNUMBER(C107),ISNUMBER(D107),C107&gt;=0.2,C107&lt;=0.8),D107,"")</f>
        <v/>
      </c>
      <c r="F107" s="5">
        <f>IF(ISNUMBER(E107),A107,"")</f>
        <v/>
      </c>
      <c r="G107" s="5">
        <f>IF(AND(ISNUMBER(E107),ISNUMBER($K$4)),E107-($K$7+$K$4*A107),"")</f>
        <v/>
      </c>
    </row>
    <row r="108">
      <c r="A108" s="4" t="n"/>
      <c r="B108" s="4" t="n"/>
      <c r="C108" s="5">
        <f>IF(AND(ISNUMBER(A108),ISNUMBER(B108),ISNUMBER($K$2),ISNUMBER($K$3),$K$3&gt;$K$2),(B108-$K$2)/($K$3-$K$2),"")</f>
        <v/>
      </c>
      <c r="D108" s="5">
        <f>IF(ISNUMBER(C108),IF(B108&lt;$K$3,LN(($K$3-$K$2)/($K$3-B108)),""),"")</f>
        <v/>
      </c>
      <c r="E108" s="5">
        <f>IF(AND(ISNUMBER(C108),ISNUMBER(D108),C108&gt;=0.2,C108&lt;=0.8),D108,"")</f>
        <v/>
      </c>
      <c r="F108" s="5">
        <f>IF(ISNUMBER(E108),A108,"")</f>
        <v/>
      </c>
      <c r="G108" s="5">
        <f>IF(AND(ISNUMBER(E108),ISNUMBER($K$4)),E108-($K$7+$K$4*A108),"")</f>
        <v/>
      </c>
    </row>
    <row r="109">
      <c r="A109" s="4" t="n"/>
      <c r="B109" s="4" t="n"/>
      <c r="C109" s="5">
        <f>IF(AND(ISNUMBER(A109),ISNUMBER(B109),ISNUMBER($K$2),ISNUMBER($K$3),$K$3&gt;$K$2),(B109-$K$2)/($K$3-$K$2),"")</f>
        <v/>
      </c>
      <c r="D109" s="5">
        <f>IF(ISNUMBER(C109),IF(B109&lt;$K$3,LN(($K$3-$K$2)/($K$3-B109)),""),"")</f>
        <v/>
      </c>
      <c r="E109" s="5">
        <f>IF(AND(ISNUMBER(C109),ISNUMBER(D109),C109&gt;=0.2,C109&lt;=0.8),D109,"")</f>
        <v/>
      </c>
      <c r="F109" s="5">
        <f>IF(ISNUMBER(E109),A109,"")</f>
        <v/>
      </c>
      <c r="G109" s="5">
        <f>IF(AND(ISNUMBER(E109),ISNUMBER($K$4)),E109-($K$7+$K$4*A109),"")</f>
        <v/>
      </c>
    </row>
    <row r="110">
      <c r="A110" s="4" t="n"/>
      <c r="B110" s="4" t="n"/>
      <c r="C110" s="5">
        <f>IF(AND(ISNUMBER(A110),ISNUMBER(B110),ISNUMBER($K$2),ISNUMBER($K$3),$K$3&gt;$K$2),(B110-$K$2)/($K$3-$K$2),"")</f>
        <v/>
      </c>
      <c r="D110" s="5">
        <f>IF(ISNUMBER(C110),IF(B110&lt;$K$3,LN(($K$3-$K$2)/($K$3-B110)),""),"")</f>
        <v/>
      </c>
      <c r="E110" s="5">
        <f>IF(AND(ISNUMBER(C110),ISNUMBER(D110),C110&gt;=0.2,C110&lt;=0.8),D110,"")</f>
        <v/>
      </c>
      <c r="F110" s="5">
        <f>IF(ISNUMBER(E110),A110,"")</f>
        <v/>
      </c>
      <c r="G110" s="5">
        <f>IF(AND(ISNUMBER(E110),ISNUMBER($K$4)),E110-($K$7+$K$4*A110),"")</f>
        <v/>
      </c>
    </row>
    <row r="111">
      <c r="A111" s="4" t="n"/>
      <c r="B111" s="4" t="n"/>
      <c r="C111" s="5">
        <f>IF(AND(ISNUMBER(A111),ISNUMBER(B111),ISNUMBER($K$2),ISNUMBER($K$3),$K$3&gt;$K$2),(B111-$K$2)/($K$3-$K$2),"")</f>
        <v/>
      </c>
      <c r="D111" s="5">
        <f>IF(ISNUMBER(C111),IF(B111&lt;$K$3,LN(($K$3-$K$2)/($K$3-B111)),""),"")</f>
        <v/>
      </c>
      <c r="E111" s="5">
        <f>IF(AND(ISNUMBER(C111),ISNUMBER(D111),C111&gt;=0.2,C111&lt;=0.8),D111,"")</f>
        <v/>
      </c>
      <c r="F111" s="5">
        <f>IF(ISNUMBER(E111),A111,"")</f>
        <v/>
      </c>
      <c r="G111" s="5">
        <f>IF(AND(ISNUMBER(E111),ISNUMBER($K$4)),E111-($K$7+$K$4*A111),"")</f>
        <v/>
      </c>
    </row>
    <row r="112">
      <c r="A112" s="4" t="n"/>
      <c r="B112" s="4" t="n"/>
      <c r="C112" s="5">
        <f>IF(AND(ISNUMBER(A112),ISNUMBER(B112),ISNUMBER($K$2),ISNUMBER($K$3),$K$3&gt;$K$2),(B112-$K$2)/($K$3-$K$2),"")</f>
        <v/>
      </c>
      <c r="D112" s="5">
        <f>IF(ISNUMBER(C112),IF(B112&lt;$K$3,LN(($K$3-$K$2)/($K$3-B112)),""),"")</f>
        <v/>
      </c>
      <c r="E112" s="5">
        <f>IF(AND(ISNUMBER(C112),ISNUMBER(D112),C112&gt;=0.2,C112&lt;=0.8),D112,"")</f>
        <v/>
      </c>
      <c r="F112" s="5">
        <f>IF(ISNUMBER(E112),A112,"")</f>
        <v/>
      </c>
      <c r="G112" s="5">
        <f>IF(AND(ISNUMBER(E112),ISNUMBER($K$4)),E112-($K$7+$K$4*A112),"")</f>
        <v/>
      </c>
    </row>
    <row r="113">
      <c r="A113" s="4" t="n"/>
      <c r="B113" s="4" t="n"/>
      <c r="C113" s="5">
        <f>IF(AND(ISNUMBER(A113),ISNUMBER(B113),ISNUMBER($K$2),ISNUMBER($K$3),$K$3&gt;$K$2),(B113-$K$2)/($K$3-$K$2),"")</f>
        <v/>
      </c>
      <c r="D113" s="5">
        <f>IF(ISNUMBER(C113),IF(B113&lt;$K$3,LN(($K$3-$K$2)/($K$3-B113)),""),"")</f>
        <v/>
      </c>
      <c r="E113" s="5">
        <f>IF(AND(ISNUMBER(C113),ISNUMBER(D113),C113&gt;=0.2,C113&lt;=0.8),D113,"")</f>
        <v/>
      </c>
      <c r="F113" s="5">
        <f>IF(ISNUMBER(E113),A113,"")</f>
        <v/>
      </c>
      <c r="G113" s="5">
        <f>IF(AND(ISNUMBER(E113),ISNUMBER($K$4)),E113-($K$7+$K$4*A113),"")</f>
        <v/>
      </c>
    </row>
    <row r="114">
      <c r="A114" s="4" t="n"/>
      <c r="B114" s="4" t="n"/>
      <c r="C114" s="5">
        <f>IF(AND(ISNUMBER(A114),ISNUMBER(B114),ISNUMBER($K$2),ISNUMBER($K$3),$K$3&gt;$K$2),(B114-$K$2)/($K$3-$K$2),"")</f>
        <v/>
      </c>
      <c r="D114" s="5">
        <f>IF(ISNUMBER(C114),IF(B114&lt;$K$3,LN(($K$3-$K$2)/($K$3-B114)),""),"")</f>
        <v/>
      </c>
      <c r="E114" s="5">
        <f>IF(AND(ISNUMBER(C114),ISNUMBER(D114),C114&gt;=0.2,C114&lt;=0.8),D114,"")</f>
        <v/>
      </c>
      <c r="F114" s="5">
        <f>IF(ISNUMBER(E114),A114,"")</f>
        <v/>
      </c>
      <c r="G114" s="5">
        <f>IF(AND(ISNUMBER(E114),ISNUMBER($K$4)),E114-($K$7+$K$4*A114),"")</f>
        <v/>
      </c>
    </row>
    <row r="115">
      <c r="A115" s="4" t="n"/>
      <c r="B115" s="4" t="n"/>
      <c r="C115" s="5">
        <f>IF(AND(ISNUMBER(A115),ISNUMBER(B115),ISNUMBER($K$2),ISNUMBER($K$3),$K$3&gt;$K$2),(B115-$K$2)/($K$3-$K$2),"")</f>
        <v/>
      </c>
      <c r="D115" s="5">
        <f>IF(ISNUMBER(C115),IF(B115&lt;$K$3,LN(($K$3-$K$2)/($K$3-B115)),""),"")</f>
        <v/>
      </c>
      <c r="E115" s="5">
        <f>IF(AND(ISNUMBER(C115),ISNUMBER(D115),C115&gt;=0.2,C115&lt;=0.8),D115,"")</f>
        <v/>
      </c>
      <c r="F115" s="5">
        <f>IF(ISNUMBER(E115),A115,"")</f>
        <v/>
      </c>
      <c r="G115" s="5">
        <f>IF(AND(ISNUMBER(E115),ISNUMBER($K$4)),E115-($K$7+$K$4*A115),"")</f>
        <v/>
      </c>
    </row>
    <row r="116">
      <c r="A116" s="4" t="n"/>
      <c r="B116" s="4" t="n"/>
      <c r="C116" s="5">
        <f>IF(AND(ISNUMBER(A116),ISNUMBER(B116),ISNUMBER($K$2),ISNUMBER($K$3),$K$3&gt;$K$2),(B116-$K$2)/($K$3-$K$2),"")</f>
        <v/>
      </c>
      <c r="D116" s="5">
        <f>IF(ISNUMBER(C116),IF(B116&lt;$K$3,LN(($K$3-$K$2)/($K$3-B116)),""),"")</f>
        <v/>
      </c>
      <c r="E116" s="5">
        <f>IF(AND(ISNUMBER(C116),ISNUMBER(D116),C116&gt;=0.2,C116&lt;=0.8),D116,"")</f>
        <v/>
      </c>
      <c r="F116" s="5">
        <f>IF(ISNUMBER(E116),A116,"")</f>
        <v/>
      </c>
      <c r="G116" s="5">
        <f>IF(AND(ISNUMBER(E116),ISNUMBER($K$4)),E116-($K$7+$K$4*A116),"")</f>
        <v/>
      </c>
    </row>
    <row r="117">
      <c r="A117" s="4" t="n"/>
      <c r="B117" s="4" t="n"/>
      <c r="C117" s="5">
        <f>IF(AND(ISNUMBER(A117),ISNUMBER(B117),ISNUMBER($K$2),ISNUMBER($K$3),$K$3&gt;$K$2),(B117-$K$2)/($K$3-$K$2),"")</f>
        <v/>
      </c>
      <c r="D117" s="5">
        <f>IF(ISNUMBER(C117),IF(B117&lt;$K$3,LN(($K$3-$K$2)/($K$3-B117)),""),"")</f>
        <v/>
      </c>
      <c r="E117" s="5">
        <f>IF(AND(ISNUMBER(C117),ISNUMBER(D117),C117&gt;=0.2,C117&lt;=0.8),D117,"")</f>
        <v/>
      </c>
      <c r="F117" s="5">
        <f>IF(ISNUMBER(E117),A117,"")</f>
        <v/>
      </c>
      <c r="G117" s="5">
        <f>IF(AND(ISNUMBER(E117),ISNUMBER($K$4)),E117-($K$7+$K$4*A117),"")</f>
        <v/>
      </c>
    </row>
    <row r="118">
      <c r="A118" s="4" t="n"/>
      <c r="B118" s="4" t="n"/>
      <c r="C118" s="5">
        <f>IF(AND(ISNUMBER(A118),ISNUMBER(B118),ISNUMBER($K$2),ISNUMBER($K$3),$K$3&gt;$K$2),(B118-$K$2)/($K$3-$K$2),"")</f>
        <v/>
      </c>
      <c r="D118" s="5">
        <f>IF(ISNUMBER(C118),IF(B118&lt;$K$3,LN(($K$3-$K$2)/($K$3-B118)),""),"")</f>
        <v/>
      </c>
      <c r="E118" s="5">
        <f>IF(AND(ISNUMBER(C118),ISNUMBER(D118),C118&gt;=0.2,C118&lt;=0.8),D118,"")</f>
        <v/>
      </c>
      <c r="F118" s="5">
        <f>IF(ISNUMBER(E118),A118,"")</f>
        <v/>
      </c>
      <c r="G118" s="5">
        <f>IF(AND(ISNUMBER(E118),ISNUMBER($K$4)),E118-($K$7+$K$4*A118),"")</f>
        <v/>
      </c>
    </row>
    <row r="119">
      <c r="A119" s="4" t="n"/>
      <c r="B119" s="4" t="n"/>
      <c r="C119" s="5">
        <f>IF(AND(ISNUMBER(A119),ISNUMBER(B119),ISNUMBER($K$2),ISNUMBER($K$3),$K$3&gt;$K$2),(B119-$K$2)/($K$3-$K$2),"")</f>
        <v/>
      </c>
      <c r="D119" s="5">
        <f>IF(ISNUMBER(C119),IF(B119&lt;$K$3,LN(($K$3-$K$2)/($K$3-B119)),""),"")</f>
        <v/>
      </c>
      <c r="E119" s="5">
        <f>IF(AND(ISNUMBER(C119),ISNUMBER(D119),C119&gt;=0.2,C119&lt;=0.8),D119,"")</f>
        <v/>
      </c>
      <c r="F119" s="5">
        <f>IF(ISNUMBER(E119),A119,"")</f>
        <v/>
      </c>
      <c r="G119" s="5">
        <f>IF(AND(ISNUMBER(E119),ISNUMBER($K$4)),E119-($K$7+$K$4*A119),"")</f>
        <v/>
      </c>
    </row>
    <row r="120">
      <c r="A120" s="4" t="n"/>
      <c r="B120" s="4" t="n"/>
      <c r="C120" s="5">
        <f>IF(AND(ISNUMBER(A120),ISNUMBER(B120),ISNUMBER($K$2),ISNUMBER($K$3),$K$3&gt;$K$2),(B120-$K$2)/($K$3-$K$2),"")</f>
        <v/>
      </c>
      <c r="D120" s="5">
        <f>IF(ISNUMBER(C120),IF(B120&lt;$K$3,LN(($K$3-$K$2)/($K$3-B120)),""),"")</f>
        <v/>
      </c>
      <c r="E120" s="5">
        <f>IF(AND(ISNUMBER(C120),ISNUMBER(D120),C120&gt;=0.2,C120&lt;=0.8),D120,"")</f>
        <v/>
      </c>
      <c r="F120" s="5">
        <f>IF(ISNUMBER(E120),A120,"")</f>
        <v/>
      </c>
      <c r="G120" s="5">
        <f>IF(AND(ISNUMBER(E120),ISNUMBER($K$4)),E120-($K$7+$K$4*A120),"")</f>
        <v/>
      </c>
    </row>
    <row r="121">
      <c r="A121" s="4" t="n"/>
      <c r="B121" s="4" t="n"/>
      <c r="C121" s="5">
        <f>IF(AND(ISNUMBER(A121),ISNUMBER(B121),ISNUMBER($K$2),ISNUMBER($K$3),$K$3&gt;$K$2),(B121-$K$2)/($K$3-$K$2),"")</f>
        <v/>
      </c>
      <c r="D121" s="5">
        <f>IF(ISNUMBER(C121),IF(B121&lt;$K$3,LN(($K$3-$K$2)/($K$3-B121)),""),"")</f>
        <v/>
      </c>
      <c r="E121" s="5">
        <f>IF(AND(ISNUMBER(C121),ISNUMBER(D121),C121&gt;=0.2,C121&lt;=0.8),D121,"")</f>
        <v/>
      </c>
      <c r="F121" s="5">
        <f>IF(ISNUMBER(E121),A121,"")</f>
        <v/>
      </c>
      <c r="G121" s="5">
        <f>IF(AND(ISNUMBER(E121),ISNUMBER($K$4)),E121-($K$7+$K$4*A121),"")</f>
        <v/>
      </c>
    </row>
    <row r="122">
      <c r="A122" s="4" t="n"/>
      <c r="B122" s="4" t="n"/>
      <c r="C122" s="5">
        <f>IF(AND(ISNUMBER(A122),ISNUMBER(B122),ISNUMBER($K$2),ISNUMBER($K$3),$K$3&gt;$K$2),(B122-$K$2)/($K$3-$K$2),"")</f>
        <v/>
      </c>
      <c r="D122" s="5">
        <f>IF(ISNUMBER(C122),IF(B122&lt;$K$3,LN(($K$3-$K$2)/($K$3-B122)),""),"")</f>
        <v/>
      </c>
      <c r="E122" s="5">
        <f>IF(AND(ISNUMBER(C122),ISNUMBER(D122),C122&gt;=0.2,C122&lt;=0.8),D122,"")</f>
        <v/>
      </c>
      <c r="F122" s="5">
        <f>IF(ISNUMBER(E122),A122,"")</f>
        <v/>
      </c>
      <c r="G122" s="5">
        <f>IF(AND(ISNUMBER(E122),ISNUMBER($K$4)),E122-($K$7+$K$4*A122),"")</f>
        <v/>
      </c>
    </row>
    <row r="123">
      <c r="A123" s="4" t="n"/>
      <c r="B123" s="4" t="n"/>
      <c r="C123" s="5">
        <f>IF(AND(ISNUMBER(A123),ISNUMBER(B123),ISNUMBER($K$2),ISNUMBER($K$3),$K$3&gt;$K$2),(B123-$K$2)/($K$3-$K$2),"")</f>
        <v/>
      </c>
      <c r="D123" s="5">
        <f>IF(ISNUMBER(C123),IF(B123&lt;$K$3,LN(($K$3-$K$2)/($K$3-B123)),""),"")</f>
        <v/>
      </c>
      <c r="E123" s="5">
        <f>IF(AND(ISNUMBER(C123),ISNUMBER(D123),C123&gt;=0.2,C123&lt;=0.8),D123,"")</f>
        <v/>
      </c>
      <c r="F123" s="5">
        <f>IF(ISNUMBER(E123),A123,"")</f>
        <v/>
      </c>
      <c r="G123" s="5">
        <f>IF(AND(ISNUMBER(E123),ISNUMBER($K$4)),E123-($K$7+$K$4*A123),"")</f>
        <v/>
      </c>
    </row>
    <row r="124">
      <c r="A124" s="4" t="n"/>
      <c r="B124" s="4" t="n"/>
      <c r="C124" s="5">
        <f>IF(AND(ISNUMBER(A124),ISNUMBER(B124),ISNUMBER($K$2),ISNUMBER($K$3),$K$3&gt;$K$2),(B124-$K$2)/($K$3-$K$2),"")</f>
        <v/>
      </c>
      <c r="D124" s="5">
        <f>IF(ISNUMBER(C124),IF(B124&lt;$K$3,LN(($K$3-$K$2)/($K$3-B124)),""),"")</f>
        <v/>
      </c>
      <c r="E124" s="5">
        <f>IF(AND(ISNUMBER(C124),ISNUMBER(D124),C124&gt;=0.2,C124&lt;=0.8),D124,"")</f>
        <v/>
      </c>
      <c r="F124" s="5">
        <f>IF(ISNUMBER(E124),A124,"")</f>
        <v/>
      </c>
      <c r="G124" s="5">
        <f>IF(AND(ISNUMBER(E124),ISNUMBER($K$4)),E124-($K$7+$K$4*A124),"")</f>
        <v/>
      </c>
    </row>
    <row r="125">
      <c r="A125" s="4" t="n"/>
      <c r="B125" s="4" t="n"/>
      <c r="C125" s="5">
        <f>IF(AND(ISNUMBER(A125),ISNUMBER(B125),ISNUMBER($K$2),ISNUMBER($K$3),$K$3&gt;$K$2),(B125-$K$2)/($K$3-$K$2),"")</f>
        <v/>
      </c>
      <c r="D125" s="5">
        <f>IF(ISNUMBER(C125),IF(B125&lt;$K$3,LN(($K$3-$K$2)/($K$3-B125)),""),"")</f>
        <v/>
      </c>
      <c r="E125" s="5">
        <f>IF(AND(ISNUMBER(C125),ISNUMBER(D125),C125&gt;=0.2,C125&lt;=0.8),D125,"")</f>
        <v/>
      </c>
      <c r="F125" s="5">
        <f>IF(ISNUMBER(E125),A125,"")</f>
        <v/>
      </c>
      <c r="G125" s="5">
        <f>IF(AND(ISNUMBER(E125),ISNUMBER($K$4)),E125-($K$7+$K$4*A125),"")</f>
        <v/>
      </c>
    </row>
    <row r="126">
      <c r="A126" s="4" t="n"/>
      <c r="B126" s="4" t="n"/>
      <c r="C126" s="5">
        <f>IF(AND(ISNUMBER(A126),ISNUMBER(B126),ISNUMBER($K$2),ISNUMBER($K$3),$K$3&gt;$K$2),(B126-$K$2)/($K$3-$K$2),"")</f>
        <v/>
      </c>
      <c r="D126" s="5">
        <f>IF(ISNUMBER(C126),IF(B126&lt;$K$3,LN(($K$3-$K$2)/($K$3-B126)),""),"")</f>
        <v/>
      </c>
      <c r="E126" s="5">
        <f>IF(AND(ISNUMBER(C126),ISNUMBER(D126),C126&gt;=0.2,C126&lt;=0.8),D126,"")</f>
        <v/>
      </c>
      <c r="F126" s="5">
        <f>IF(ISNUMBER(E126),A126,"")</f>
        <v/>
      </c>
      <c r="G126" s="5">
        <f>IF(AND(ISNUMBER(E126),ISNUMBER($K$4)),E126-($K$7+$K$4*A126),"")</f>
        <v/>
      </c>
    </row>
    <row r="127">
      <c r="A127" s="4" t="n"/>
      <c r="B127" s="4" t="n"/>
      <c r="C127" s="5">
        <f>IF(AND(ISNUMBER(A127),ISNUMBER(B127),ISNUMBER($K$2),ISNUMBER($K$3),$K$3&gt;$K$2),(B127-$K$2)/($K$3-$K$2),"")</f>
        <v/>
      </c>
      <c r="D127" s="5">
        <f>IF(ISNUMBER(C127),IF(B127&lt;$K$3,LN(($K$3-$K$2)/($K$3-B127)),""),"")</f>
        <v/>
      </c>
      <c r="E127" s="5">
        <f>IF(AND(ISNUMBER(C127),ISNUMBER(D127),C127&gt;=0.2,C127&lt;=0.8),D127,"")</f>
        <v/>
      </c>
      <c r="F127" s="5">
        <f>IF(ISNUMBER(E127),A127,"")</f>
        <v/>
      </c>
      <c r="G127" s="5">
        <f>IF(AND(ISNUMBER(E127),ISNUMBER($K$4)),E127-($K$7+$K$4*A127),"")</f>
        <v/>
      </c>
    </row>
    <row r="128">
      <c r="A128" s="4" t="n"/>
      <c r="B128" s="4" t="n"/>
      <c r="C128" s="5">
        <f>IF(AND(ISNUMBER(A128),ISNUMBER(B128),ISNUMBER($K$2),ISNUMBER($K$3),$K$3&gt;$K$2),(B128-$K$2)/($K$3-$K$2),"")</f>
        <v/>
      </c>
      <c r="D128" s="5">
        <f>IF(ISNUMBER(C128),IF(B128&lt;$K$3,LN(($K$3-$K$2)/($K$3-B128)),""),"")</f>
        <v/>
      </c>
      <c r="E128" s="5">
        <f>IF(AND(ISNUMBER(C128),ISNUMBER(D128),C128&gt;=0.2,C128&lt;=0.8),D128,"")</f>
        <v/>
      </c>
      <c r="F128" s="5">
        <f>IF(ISNUMBER(E128),A128,"")</f>
        <v/>
      </c>
      <c r="G128" s="5">
        <f>IF(AND(ISNUMBER(E128),ISNUMBER($K$4)),E128-($K$7+$K$4*A128),"")</f>
        <v/>
      </c>
    </row>
    <row r="129">
      <c r="A129" s="4" t="n"/>
      <c r="B129" s="4" t="n"/>
      <c r="C129" s="5">
        <f>IF(AND(ISNUMBER(A129),ISNUMBER(B129),ISNUMBER($K$2),ISNUMBER($K$3),$K$3&gt;$K$2),(B129-$K$2)/($K$3-$K$2),"")</f>
        <v/>
      </c>
      <c r="D129" s="5">
        <f>IF(ISNUMBER(C129),IF(B129&lt;$K$3,LN(($K$3-$K$2)/($K$3-B129)),""),"")</f>
        <v/>
      </c>
      <c r="E129" s="5">
        <f>IF(AND(ISNUMBER(C129),ISNUMBER(D129),C129&gt;=0.2,C129&lt;=0.8),D129,"")</f>
        <v/>
      </c>
      <c r="F129" s="5">
        <f>IF(ISNUMBER(E129),A129,"")</f>
        <v/>
      </c>
      <c r="G129" s="5">
        <f>IF(AND(ISNUMBER(E129),ISNUMBER($K$4)),E129-($K$7+$K$4*A129),"")</f>
        <v/>
      </c>
    </row>
    <row r="130">
      <c r="A130" s="4" t="n"/>
      <c r="B130" s="4" t="n"/>
      <c r="C130" s="5">
        <f>IF(AND(ISNUMBER(A130),ISNUMBER(B130),ISNUMBER($K$2),ISNUMBER($K$3),$K$3&gt;$K$2),(B130-$K$2)/($K$3-$K$2),"")</f>
        <v/>
      </c>
      <c r="D130" s="5">
        <f>IF(ISNUMBER(C130),IF(B130&lt;$K$3,LN(($K$3-$K$2)/($K$3-B130)),""),"")</f>
        <v/>
      </c>
      <c r="E130" s="5">
        <f>IF(AND(ISNUMBER(C130),ISNUMBER(D130),C130&gt;=0.2,C130&lt;=0.8),D130,"")</f>
        <v/>
      </c>
      <c r="F130" s="5">
        <f>IF(ISNUMBER(E130),A130,"")</f>
        <v/>
      </c>
      <c r="G130" s="5">
        <f>IF(AND(ISNUMBER(E130),ISNUMBER($K$4)),E130-($K$7+$K$4*A130),"")</f>
        <v/>
      </c>
    </row>
    <row r="131">
      <c r="A131" s="4" t="n"/>
      <c r="B131" s="4" t="n"/>
      <c r="C131" s="5">
        <f>IF(AND(ISNUMBER(A131),ISNUMBER(B131),ISNUMBER($K$2),ISNUMBER($K$3),$K$3&gt;$K$2),(B131-$K$2)/($K$3-$K$2),"")</f>
        <v/>
      </c>
      <c r="D131" s="5">
        <f>IF(ISNUMBER(C131),IF(B131&lt;$K$3,LN(($K$3-$K$2)/($K$3-B131)),""),"")</f>
        <v/>
      </c>
      <c r="E131" s="5">
        <f>IF(AND(ISNUMBER(C131),ISNUMBER(D131),C131&gt;=0.2,C131&lt;=0.8),D131,"")</f>
        <v/>
      </c>
      <c r="F131" s="5">
        <f>IF(ISNUMBER(E131),A131,"")</f>
        <v/>
      </c>
      <c r="G131" s="5">
        <f>IF(AND(ISNUMBER(E131),ISNUMBER($K$4)),E131-($K$7+$K$4*A131),"")</f>
        <v/>
      </c>
    </row>
    <row r="132">
      <c r="A132" s="4" t="n"/>
      <c r="B132" s="4" t="n"/>
      <c r="C132" s="5">
        <f>IF(AND(ISNUMBER(A132),ISNUMBER(B132),ISNUMBER($K$2),ISNUMBER($K$3),$K$3&gt;$K$2),(B132-$K$2)/($K$3-$K$2),"")</f>
        <v/>
      </c>
      <c r="D132" s="5">
        <f>IF(ISNUMBER(C132),IF(B132&lt;$K$3,LN(($K$3-$K$2)/($K$3-B132)),""),"")</f>
        <v/>
      </c>
      <c r="E132" s="5">
        <f>IF(AND(ISNUMBER(C132),ISNUMBER(D132),C132&gt;=0.2,C132&lt;=0.8),D132,"")</f>
        <v/>
      </c>
      <c r="F132" s="5">
        <f>IF(ISNUMBER(E132),A132,"")</f>
        <v/>
      </c>
      <c r="G132" s="5">
        <f>IF(AND(ISNUMBER(E132),ISNUMBER($K$4)),E132-($K$7+$K$4*A132),"")</f>
        <v/>
      </c>
    </row>
    <row r="133">
      <c r="A133" s="4" t="n"/>
      <c r="B133" s="4" t="n"/>
      <c r="C133" s="5">
        <f>IF(AND(ISNUMBER(A133),ISNUMBER(B133),ISNUMBER($K$2),ISNUMBER($K$3),$K$3&gt;$K$2),(B133-$K$2)/($K$3-$K$2),"")</f>
        <v/>
      </c>
      <c r="D133" s="5">
        <f>IF(ISNUMBER(C133),IF(B133&lt;$K$3,LN(($K$3-$K$2)/($K$3-B133)),""),"")</f>
        <v/>
      </c>
      <c r="E133" s="5">
        <f>IF(AND(ISNUMBER(C133),ISNUMBER(D133),C133&gt;=0.2,C133&lt;=0.8),D133,"")</f>
        <v/>
      </c>
      <c r="F133" s="5">
        <f>IF(ISNUMBER(E133),A133,"")</f>
        <v/>
      </c>
      <c r="G133" s="5">
        <f>IF(AND(ISNUMBER(E133),ISNUMBER($K$4)),E133-($K$7+$K$4*A133),"")</f>
        <v/>
      </c>
    </row>
    <row r="134">
      <c r="A134" s="4" t="n"/>
      <c r="B134" s="4" t="n"/>
      <c r="C134" s="5">
        <f>IF(AND(ISNUMBER(A134),ISNUMBER(B134),ISNUMBER($K$2),ISNUMBER($K$3),$K$3&gt;$K$2),(B134-$K$2)/($K$3-$K$2),"")</f>
        <v/>
      </c>
      <c r="D134" s="5">
        <f>IF(ISNUMBER(C134),IF(B134&lt;$K$3,LN(($K$3-$K$2)/($K$3-B134)),""),"")</f>
        <v/>
      </c>
      <c r="E134" s="5">
        <f>IF(AND(ISNUMBER(C134),ISNUMBER(D134),C134&gt;=0.2,C134&lt;=0.8),D134,"")</f>
        <v/>
      </c>
      <c r="F134" s="5">
        <f>IF(ISNUMBER(E134),A134,"")</f>
        <v/>
      </c>
      <c r="G134" s="5">
        <f>IF(AND(ISNUMBER(E134),ISNUMBER($K$4)),E134-($K$7+$K$4*A134),"")</f>
        <v/>
      </c>
    </row>
    <row r="135">
      <c r="A135" s="4" t="n"/>
      <c r="B135" s="4" t="n"/>
      <c r="C135" s="5">
        <f>IF(AND(ISNUMBER(A135),ISNUMBER(B135),ISNUMBER($K$2),ISNUMBER($K$3),$K$3&gt;$K$2),(B135-$K$2)/($K$3-$K$2),"")</f>
        <v/>
      </c>
      <c r="D135" s="5">
        <f>IF(ISNUMBER(C135),IF(B135&lt;$K$3,LN(($K$3-$K$2)/($K$3-B135)),""),"")</f>
        <v/>
      </c>
      <c r="E135" s="5">
        <f>IF(AND(ISNUMBER(C135),ISNUMBER(D135),C135&gt;=0.2,C135&lt;=0.8),D135,"")</f>
        <v/>
      </c>
      <c r="F135" s="5">
        <f>IF(ISNUMBER(E135),A135,"")</f>
        <v/>
      </c>
      <c r="G135" s="5">
        <f>IF(AND(ISNUMBER(E135),ISNUMBER($K$4)),E135-($K$7+$K$4*A135),"")</f>
        <v/>
      </c>
    </row>
    <row r="136">
      <c r="A136" s="4" t="n"/>
      <c r="B136" s="4" t="n"/>
      <c r="C136" s="5">
        <f>IF(AND(ISNUMBER(A136),ISNUMBER(B136),ISNUMBER($K$2),ISNUMBER($K$3),$K$3&gt;$K$2),(B136-$K$2)/($K$3-$K$2),"")</f>
        <v/>
      </c>
      <c r="D136" s="5">
        <f>IF(ISNUMBER(C136),IF(B136&lt;$K$3,LN(($K$3-$K$2)/($K$3-B136)),""),"")</f>
        <v/>
      </c>
      <c r="E136" s="5">
        <f>IF(AND(ISNUMBER(C136),ISNUMBER(D136),C136&gt;=0.2,C136&lt;=0.8),D136,"")</f>
        <v/>
      </c>
      <c r="F136" s="5">
        <f>IF(ISNUMBER(E136),A136,"")</f>
        <v/>
      </c>
      <c r="G136" s="5">
        <f>IF(AND(ISNUMBER(E136),ISNUMBER($K$4)),E136-($K$7+$K$4*A136),"")</f>
        <v/>
      </c>
    </row>
    <row r="137">
      <c r="A137" s="4" t="n"/>
      <c r="B137" s="4" t="n"/>
      <c r="C137" s="5">
        <f>IF(AND(ISNUMBER(A137),ISNUMBER(B137),ISNUMBER($K$2),ISNUMBER($K$3),$K$3&gt;$K$2),(B137-$K$2)/($K$3-$K$2),"")</f>
        <v/>
      </c>
      <c r="D137" s="5">
        <f>IF(ISNUMBER(C137),IF(B137&lt;$K$3,LN(($K$3-$K$2)/($K$3-B137)),""),"")</f>
        <v/>
      </c>
      <c r="E137" s="5">
        <f>IF(AND(ISNUMBER(C137),ISNUMBER(D137),C137&gt;=0.2,C137&lt;=0.8),D137,"")</f>
        <v/>
      </c>
      <c r="F137" s="5">
        <f>IF(ISNUMBER(E137),A137,"")</f>
        <v/>
      </c>
      <c r="G137" s="5">
        <f>IF(AND(ISNUMBER(E137),ISNUMBER($K$4)),E137-($K$7+$K$4*A137),"")</f>
        <v/>
      </c>
    </row>
    <row r="138">
      <c r="A138" s="4" t="n"/>
      <c r="B138" s="4" t="n"/>
      <c r="C138" s="5">
        <f>IF(AND(ISNUMBER(A138),ISNUMBER(B138),ISNUMBER($K$2),ISNUMBER($K$3),$K$3&gt;$K$2),(B138-$K$2)/($K$3-$K$2),"")</f>
        <v/>
      </c>
      <c r="D138" s="5">
        <f>IF(ISNUMBER(C138),IF(B138&lt;$K$3,LN(($K$3-$K$2)/($K$3-B138)),""),"")</f>
        <v/>
      </c>
      <c r="E138" s="5">
        <f>IF(AND(ISNUMBER(C138),ISNUMBER(D138),C138&gt;=0.2,C138&lt;=0.8),D138,"")</f>
        <v/>
      </c>
      <c r="F138" s="5">
        <f>IF(ISNUMBER(E138),A138,"")</f>
        <v/>
      </c>
      <c r="G138" s="5">
        <f>IF(AND(ISNUMBER(E138),ISNUMBER($K$4)),E138-($K$7+$K$4*A138),"")</f>
        <v/>
      </c>
    </row>
    <row r="139">
      <c r="A139" s="4" t="n"/>
      <c r="B139" s="4" t="n"/>
      <c r="C139" s="5">
        <f>IF(AND(ISNUMBER(A139),ISNUMBER(B139),ISNUMBER($K$2),ISNUMBER($K$3),$K$3&gt;$K$2),(B139-$K$2)/($K$3-$K$2),"")</f>
        <v/>
      </c>
      <c r="D139" s="5">
        <f>IF(ISNUMBER(C139),IF(B139&lt;$K$3,LN(($K$3-$K$2)/($K$3-B139)),""),"")</f>
        <v/>
      </c>
      <c r="E139" s="5">
        <f>IF(AND(ISNUMBER(C139),ISNUMBER(D139),C139&gt;=0.2,C139&lt;=0.8),D139,"")</f>
        <v/>
      </c>
      <c r="F139" s="5">
        <f>IF(ISNUMBER(E139),A139,"")</f>
        <v/>
      </c>
      <c r="G139" s="5">
        <f>IF(AND(ISNUMBER(E139),ISNUMBER($K$4)),E139-($K$7+$K$4*A139),"")</f>
        <v/>
      </c>
    </row>
    <row r="140">
      <c r="A140" s="4" t="n"/>
      <c r="B140" s="4" t="n"/>
      <c r="C140" s="5">
        <f>IF(AND(ISNUMBER(A140),ISNUMBER(B140),ISNUMBER($K$2),ISNUMBER($K$3),$K$3&gt;$K$2),(B140-$K$2)/($K$3-$K$2),"")</f>
        <v/>
      </c>
      <c r="D140" s="5">
        <f>IF(ISNUMBER(C140),IF(B140&lt;$K$3,LN(($K$3-$K$2)/($K$3-B140)),""),"")</f>
        <v/>
      </c>
      <c r="E140" s="5">
        <f>IF(AND(ISNUMBER(C140),ISNUMBER(D140),C140&gt;=0.2,C140&lt;=0.8),D140,"")</f>
        <v/>
      </c>
      <c r="F140" s="5">
        <f>IF(ISNUMBER(E140),A140,"")</f>
        <v/>
      </c>
      <c r="G140" s="5">
        <f>IF(AND(ISNUMBER(E140),ISNUMBER($K$4)),E140-($K$7+$K$4*A140),"")</f>
        <v/>
      </c>
    </row>
    <row r="141">
      <c r="A141" s="4" t="n"/>
      <c r="B141" s="4" t="n"/>
      <c r="C141" s="5">
        <f>IF(AND(ISNUMBER(A141),ISNUMBER(B141),ISNUMBER($K$2),ISNUMBER($K$3),$K$3&gt;$K$2),(B141-$K$2)/($K$3-$K$2),"")</f>
        <v/>
      </c>
      <c r="D141" s="5">
        <f>IF(ISNUMBER(C141),IF(B141&lt;$K$3,LN(($K$3-$K$2)/($K$3-B141)),""),"")</f>
        <v/>
      </c>
      <c r="E141" s="5">
        <f>IF(AND(ISNUMBER(C141),ISNUMBER(D141),C141&gt;=0.2,C141&lt;=0.8),D141,"")</f>
        <v/>
      </c>
      <c r="F141" s="5">
        <f>IF(ISNUMBER(E141),A141,"")</f>
        <v/>
      </c>
      <c r="G141" s="5">
        <f>IF(AND(ISNUMBER(E141),ISNUMBER($K$4)),E141-($K$7+$K$4*A141),"")</f>
        <v/>
      </c>
    </row>
    <row r="142">
      <c r="A142" s="4" t="n"/>
      <c r="B142" s="4" t="n"/>
      <c r="C142" s="5">
        <f>IF(AND(ISNUMBER(A142),ISNUMBER(B142),ISNUMBER($K$2),ISNUMBER($K$3),$K$3&gt;$K$2),(B142-$K$2)/($K$3-$K$2),"")</f>
        <v/>
      </c>
      <c r="D142" s="5">
        <f>IF(ISNUMBER(C142),IF(B142&lt;$K$3,LN(($K$3-$K$2)/($K$3-B142)),""),"")</f>
        <v/>
      </c>
      <c r="E142" s="5">
        <f>IF(AND(ISNUMBER(C142),ISNUMBER(D142),C142&gt;=0.2,C142&lt;=0.8),D142,"")</f>
        <v/>
      </c>
      <c r="F142" s="5">
        <f>IF(ISNUMBER(E142),A142,"")</f>
        <v/>
      </c>
      <c r="G142" s="5">
        <f>IF(AND(ISNUMBER(E142),ISNUMBER($K$4)),E142-($K$7+$K$4*A142),"")</f>
        <v/>
      </c>
    </row>
    <row r="143">
      <c r="A143" s="4" t="n"/>
      <c r="B143" s="4" t="n"/>
      <c r="C143" s="5">
        <f>IF(AND(ISNUMBER(A143),ISNUMBER(B143),ISNUMBER($K$2),ISNUMBER($K$3),$K$3&gt;$K$2),(B143-$K$2)/($K$3-$K$2),"")</f>
        <v/>
      </c>
      <c r="D143" s="5">
        <f>IF(ISNUMBER(C143),IF(B143&lt;$K$3,LN(($K$3-$K$2)/($K$3-B143)),""),"")</f>
        <v/>
      </c>
      <c r="E143" s="5">
        <f>IF(AND(ISNUMBER(C143),ISNUMBER(D143),C143&gt;=0.2,C143&lt;=0.8),D143,"")</f>
        <v/>
      </c>
      <c r="F143" s="5">
        <f>IF(ISNUMBER(E143),A143,"")</f>
        <v/>
      </c>
      <c r="G143" s="5">
        <f>IF(AND(ISNUMBER(E143),ISNUMBER($K$4)),E143-($K$7+$K$4*A143),"")</f>
        <v/>
      </c>
    </row>
    <row r="144">
      <c r="A144" s="4" t="n"/>
      <c r="B144" s="4" t="n"/>
      <c r="C144" s="5">
        <f>IF(AND(ISNUMBER(A144),ISNUMBER(B144),ISNUMBER($K$2),ISNUMBER($K$3),$K$3&gt;$K$2),(B144-$K$2)/($K$3-$K$2),"")</f>
        <v/>
      </c>
      <c r="D144" s="5">
        <f>IF(ISNUMBER(C144),IF(B144&lt;$K$3,LN(($K$3-$K$2)/($K$3-B144)),""),"")</f>
        <v/>
      </c>
      <c r="E144" s="5">
        <f>IF(AND(ISNUMBER(C144),ISNUMBER(D144),C144&gt;=0.2,C144&lt;=0.8),D144,"")</f>
        <v/>
      </c>
      <c r="F144" s="5">
        <f>IF(ISNUMBER(E144),A144,"")</f>
        <v/>
      </c>
      <c r="G144" s="5">
        <f>IF(AND(ISNUMBER(E144),ISNUMBER($K$4)),E144-($K$7+$K$4*A144),"")</f>
        <v/>
      </c>
    </row>
    <row r="145">
      <c r="A145" s="4" t="n"/>
      <c r="B145" s="4" t="n"/>
      <c r="C145" s="5">
        <f>IF(AND(ISNUMBER(A145),ISNUMBER(B145),ISNUMBER($K$2),ISNUMBER($K$3),$K$3&gt;$K$2),(B145-$K$2)/($K$3-$K$2),"")</f>
        <v/>
      </c>
      <c r="D145" s="5">
        <f>IF(ISNUMBER(C145),IF(B145&lt;$K$3,LN(($K$3-$K$2)/($K$3-B145)),""),"")</f>
        <v/>
      </c>
      <c r="E145" s="5">
        <f>IF(AND(ISNUMBER(C145),ISNUMBER(D145),C145&gt;=0.2,C145&lt;=0.8),D145,"")</f>
        <v/>
      </c>
      <c r="F145" s="5">
        <f>IF(ISNUMBER(E145),A145,"")</f>
        <v/>
      </c>
      <c r="G145" s="5">
        <f>IF(AND(ISNUMBER(E145),ISNUMBER($K$4)),E145-($K$7+$K$4*A145),"")</f>
        <v/>
      </c>
    </row>
    <row r="146">
      <c r="A146" s="4" t="n"/>
      <c r="B146" s="4" t="n"/>
      <c r="C146" s="5">
        <f>IF(AND(ISNUMBER(A146),ISNUMBER(B146),ISNUMBER($K$2),ISNUMBER($K$3),$K$3&gt;$K$2),(B146-$K$2)/($K$3-$K$2),"")</f>
        <v/>
      </c>
      <c r="D146" s="5">
        <f>IF(ISNUMBER(C146),IF(B146&lt;$K$3,LN(($K$3-$K$2)/($K$3-B146)),""),"")</f>
        <v/>
      </c>
      <c r="E146" s="5">
        <f>IF(AND(ISNUMBER(C146),ISNUMBER(D146),C146&gt;=0.2,C146&lt;=0.8),D146,"")</f>
        <v/>
      </c>
      <c r="F146" s="5">
        <f>IF(ISNUMBER(E146),A146,"")</f>
        <v/>
      </c>
      <c r="G146" s="5">
        <f>IF(AND(ISNUMBER(E146),ISNUMBER($K$4)),E146-($K$7+$K$4*A146),"")</f>
        <v/>
      </c>
    </row>
    <row r="147">
      <c r="A147" s="4" t="n"/>
      <c r="B147" s="4" t="n"/>
      <c r="C147" s="5">
        <f>IF(AND(ISNUMBER(A147),ISNUMBER(B147),ISNUMBER($K$2),ISNUMBER($K$3),$K$3&gt;$K$2),(B147-$K$2)/($K$3-$K$2),"")</f>
        <v/>
      </c>
      <c r="D147" s="5">
        <f>IF(ISNUMBER(C147),IF(B147&lt;$K$3,LN(($K$3-$K$2)/($K$3-B147)),""),"")</f>
        <v/>
      </c>
      <c r="E147" s="5">
        <f>IF(AND(ISNUMBER(C147),ISNUMBER(D147),C147&gt;=0.2,C147&lt;=0.8),D147,"")</f>
        <v/>
      </c>
      <c r="F147" s="5">
        <f>IF(ISNUMBER(E147),A147,"")</f>
        <v/>
      </c>
      <c r="G147" s="5">
        <f>IF(AND(ISNUMBER(E147),ISNUMBER($K$4)),E147-($K$7+$K$4*A147),"")</f>
        <v/>
      </c>
    </row>
    <row r="148">
      <c r="A148" s="4" t="n"/>
      <c r="B148" s="4" t="n"/>
      <c r="C148" s="5">
        <f>IF(AND(ISNUMBER(A148),ISNUMBER(B148),ISNUMBER($K$2),ISNUMBER($K$3),$K$3&gt;$K$2),(B148-$K$2)/($K$3-$K$2),"")</f>
        <v/>
      </c>
      <c r="D148" s="5">
        <f>IF(ISNUMBER(C148),IF(B148&lt;$K$3,LN(($K$3-$K$2)/($K$3-B148)),""),"")</f>
        <v/>
      </c>
      <c r="E148" s="5">
        <f>IF(AND(ISNUMBER(C148),ISNUMBER(D148),C148&gt;=0.2,C148&lt;=0.8),D148,"")</f>
        <v/>
      </c>
      <c r="F148" s="5">
        <f>IF(ISNUMBER(E148),A148,"")</f>
        <v/>
      </c>
      <c r="G148" s="5">
        <f>IF(AND(ISNUMBER(E148),ISNUMBER($K$4)),E148-($K$7+$K$4*A148),"")</f>
        <v/>
      </c>
    </row>
    <row r="149">
      <c r="A149" s="4" t="n"/>
      <c r="B149" s="4" t="n"/>
      <c r="C149" s="5">
        <f>IF(AND(ISNUMBER(A149),ISNUMBER(B149),ISNUMBER($K$2),ISNUMBER($K$3),$K$3&gt;$K$2),(B149-$K$2)/($K$3-$K$2),"")</f>
        <v/>
      </c>
      <c r="D149" s="5">
        <f>IF(ISNUMBER(C149),IF(B149&lt;$K$3,LN(($K$3-$K$2)/($K$3-B149)),""),"")</f>
        <v/>
      </c>
      <c r="E149" s="5">
        <f>IF(AND(ISNUMBER(C149),ISNUMBER(D149),C149&gt;=0.2,C149&lt;=0.8),D149,"")</f>
        <v/>
      </c>
      <c r="F149" s="5">
        <f>IF(ISNUMBER(E149),A149,"")</f>
        <v/>
      </c>
      <c r="G149" s="5">
        <f>IF(AND(ISNUMBER(E149),ISNUMBER($K$4)),E149-($K$7+$K$4*A149),"")</f>
        <v/>
      </c>
    </row>
    <row r="150">
      <c r="A150" s="4" t="n"/>
      <c r="B150" s="4" t="n"/>
      <c r="C150" s="5">
        <f>IF(AND(ISNUMBER(A150),ISNUMBER(B150),ISNUMBER($K$2),ISNUMBER($K$3),$K$3&gt;$K$2),(B150-$K$2)/($K$3-$K$2),"")</f>
        <v/>
      </c>
      <c r="D150" s="5">
        <f>IF(ISNUMBER(C150),IF(B150&lt;$K$3,LN(($K$3-$K$2)/($K$3-B150)),""),"")</f>
        <v/>
      </c>
      <c r="E150" s="5">
        <f>IF(AND(ISNUMBER(C150),ISNUMBER(D150),C150&gt;=0.2,C150&lt;=0.8),D150,"")</f>
        <v/>
      </c>
      <c r="F150" s="5">
        <f>IF(ISNUMBER(E150),A150,"")</f>
        <v/>
      </c>
      <c r="G150" s="5">
        <f>IF(AND(ISNUMBER(E150),ISNUMBER($K$4)),E150-($K$7+$K$4*A150),"")</f>
        <v/>
      </c>
    </row>
    <row r="151">
      <c r="A151" s="4" t="n"/>
      <c r="B151" s="4" t="n"/>
      <c r="C151" s="5">
        <f>IF(AND(ISNUMBER(A151),ISNUMBER(B151),ISNUMBER($K$2),ISNUMBER($K$3),$K$3&gt;$K$2),(B151-$K$2)/($K$3-$K$2),"")</f>
        <v/>
      </c>
      <c r="D151" s="5">
        <f>IF(ISNUMBER(C151),IF(B151&lt;$K$3,LN(($K$3-$K$2)/($K$3-B151)),""),"")</f>
        <v/>
      </c>
      <c r="E151" s="5">
        <f>IF(AND(ISNUMBER(C151),ISNUMBER(D151),C151&gt;=0.2,C151&lt;=0.8),D151,"")</f>
        <v/>
      </c>
      <c r="F151" s="5">
        <f>IF(ISNUMBER(E151),A151,"")</f>
        <v/>
      </c>
      <c r="G151" s="5">
        <f>IF(AND(ISNUMBER(E151),ISNUMBER($K$4)),E151-($K$7+$K$4*A151),"")</f>
        <v/>
      </c>
    </row>
    <row r="152">
      <c r="A152" s="4" t="n"/>
      <c r="B152" s="4" t="n"/>
      <c r="C152" s="5">
        <f>IF(AND(ISNUMBER(A152),ISNUMBER(B152),ISNUMBER($K$2),ISNUMBER($K$3),$K$3&gt;$K$2),(B152-$K$2)/($K$3-$K$2),"")</f>
        <v/>
      </c>
      <c r="D152" s="5">
        <f>IF(ISNUMBER(C152),IF(B152&lt;$K$3,LN(($K$3-$K$2)/($K$3-B152)),""),"")</f>
        <v/>
      </c>
      <c r="E152" s="5">
        <f>IF(AND(ISNUMBER(C152),ISNUMBER(D152),C152&gt;=0.2,C152&lt;=0.8),D152,"")</f>
        <v/>
      </c>
      <c r="F152" s="5">
        <f>IF(ISNUMBER(E152),A152,"")</f>
        <v/>
      </c>
      <c r="G152" s="5">
        <f>IF(AND(ISNUMBER(E152),ISNUMBER($K$4)),E152-($K$7+$K$4*A152),"")</f>
        <v/>
      </c>
    </row>
    <row r="153">
      <c r="A153" s="4" t="n"/>
      <c r="B153" s="4" t="n"/>
      <c r="C153" s="5">
        <f>IF(AND(ISNUMBER(A153),ISNUMBER(B153),ISNUMBER($K$2),ISNUMBER($K$3),$K$3&gt;$K$2),(B153-$K$2)/($K$3-$K$2),"")</f>
        <v/>
      </c>
      <c r="D153" s="5">
        <f>IF(ISNUMBER(C153),IF(B153&lt;$K$3,LN(($K$3-$K$2)/($K$3-B153)),""),"")</f>
        <v/>
      </c>
      <c r="E153" s="5">
        <f>IF(AND(ISNUMBER(C153),ISNUMBER(D153),C153&gt;=0.2,C153&lt;=0.8),D153,"")</f>
        <v/>
      </c>
      <c r="F153" s="5">
        <f>IF(ISNUMBER(E153),A153,"")</f>
        <v/>
      </c>
      <c r="G153" s="5">
        <f>IF(AND(ISNUMBER(E153),ISNUMBER($K$4)),E153-($K$7+$K$4*A153),"")</f>
        <v/>
      </c>
    </row>
    <row r="154">
      <c r="A154" s="4" t="n"/>
      <c r="B154" s="4" t="n"/>
      <c r="C154" s="5">
        <f>IF(AND(ISNUMBER(A154),ISNUMBER(B154),ISNUMBER($K$2),ISNUMBER($K$3),$K$3&gt;$K$2),(B154-$K$2)/($K$3-$K$2),"")</f>
        <v/>
      </c>
      <c r="D154" s="5">
        <f>IF(ISNUMBER(C154),IF(B154&lt;$K$3,LN(($K$3-$K$2)/($K$3-B154)),""),"")</f>
        <v/>
      </c>
      <c r="E154" s="5">
        <f>IF(AND(ISNUMBER(C154),ISNUMBER(D154),C154&gt;=0.2,C154&lt;=0.8),D154,"")</f>
        <v/>
      </c>
      <c r="F154" s="5">
        <f>IF(ISNUMBER(E154),A154,"")</f>
        <v/>
      </c>
      <c r="G154" s="5">
        <f>IF(AND(ISNUMBER(E154),ISNUMBER($K$4)),E154-($K$7+$K$4*A154),"")</f>
        <v/>
      </c>
    </row>
    <row r="155">
      <c r="A155" s="4" t="n"/>
      <c r="B155" s="4" t="n"/>
      <c r="C155" s="5">
        <f>IF(AND(ISNUMBER(A155),ISNUMBER(B155),ISNUMBER($K$2),ISNUMBER($K$3),$K$3&gt;$K$2),(B155-$K$2)/($K$3-$K$2),"")</f>
        <v/>
      </c>
      <c r="D155" s="5">
        <f>IF(ISNUMBER(C155),IF(B155&lt;$K$3,LN(($K$3-$K$2)/($K$3-B155)),""),"")</f>
        <v/>
      </c>
      <c r="E155" s="5">
        <f>IF(AND(ISNUMBER(C155),ISNUMBER(D155),C155&gt;=0.2,C155&lt;=0.8),D155,"")</f>
        <v/>
      </c>
      <c r="F155" s="5">
        <f>IF(ISNUMBER(E155),A155,"")</f>
        <v/>
      </c>
      <c r="G155" s="5">
        <f>IF(AND(ISNUMBER(E155),ISNUMBER($K$4)),E155-($K$7+$K$4*A155),"")</f>
        <v/>
      </c>
    </row>
    <row r="156">
      <c r="A156" s="4" t="n"/>
      <c r="B156" s="4" t="n"/>
      <c r="C156" s="5">
        <f>IF(AND(ISNUMBER(A156),ISNUMBER(B156),ISNUMBER($K$2),ISNUMBER($K$3),$K$3&gt;$K$2),(B156-$K$2)/($K$3-$K$2),"")</f>
        <v/>
      </c>
      <c r="D156" s="5">
        <f>IF(ISNUMBER(C156),IF(B156&lt;$K$3,LN(($K$3-$K$2)/($K$3-B156)),""),"")</f>
        <v/>
      </c>
      <c r="E156" s="5">
        <f>IF(AND(ISNUMBER(C156),ISNUMBER(D156),C156&gt;=0.2,C156&lt;=0.8),D156,"")</f>
        <v/>
      </c>
      <c r="F156" s="5">
        <f>IF(ISNUMBER(E156),A156,"")</f>
        <v/>
      </c>
      <c r="G156" s="5">
        <f>IF(AND(ISNUMBER(E156),ISNUMBER($K$4)),E156-($K$7+$K$4*A156),"")</f>
        <v/>
      </c>
    </row>
    <row r="157">
      <c r="A157" s="4" t="n"/>
      <c r="B157" s="4" t="n"/>
      <c r="C157" s="5">
        <f>IF(AND(ISNUMBER(A157),ISNUMBER(B157),ISNUMBER($K$2),ISNUMBER($K$3),$K$3&gt;$K$2),(B157-$K$2)/($K$3-$K$2),"")</f>
        <v/>
      </c>
      <c r="D157" s="5">
        <f>IF(ISNUMBER(C157),IF(B157&lt;$K$3,LN(($K$3-$K$2)/($K$3-B157)),""),"")</f>
        <v/>
      </c>
      <c r="E157" s="5">
        <f>IF(AND(ISNUMBER(C157),ISNUMBER(D157),C157&gt;=0.2,C157&lt;=0.8),D157,"")</f>
        <v/>
      </c>
      <c r="F157" s="5">
        <f>IF(ISNUMBER(E157),A157,"")</f>
        <v/>
      </c>
      <c r="G157" s="5">
        <f>IF(AND(ISNUMBER(E157),ISNUMBER($K$4)),E157-($K$7+$K$4*A157),"")</f>
        <v/>
      </c>
    </row>
    <row r="158">
      <c r="A158" s="4" t="n"/>
      <c r="B158" s="4" t="n"/>
      <c r="C158" s="5">
        <f>IF(AND(ISNUMBER(A158),ISNUMBER(B158),ISNUMBER($K$2),ISNUMBER($K$3),$K$3&gt;$K$2),(B158-$K$2)/($K$3-$K$2),"")</f>
        <v/>
      </c>
      <c r="D158" s="5">
        <f>IF(ISNUMBER(C158),IF(B158&lt;$K$3,LN(($K$3-$K$2)/($K$3-B158)),""),"")</f>
        <v/>
      </c>
      <c r="E158" s="5">
        <f>IF(AND(ISNUMBER(C158),ISNUMBER(D158),C158&gt;=0.2,C158&lt;=0.8),D158,"")</f>
        <v/>
      </c>
      <c r="F158" s="5">
        <f>IF(ISNUMBER(E158),A158,"")</f>
        <v/>
      </c>
      <c r="G158" s="5">
        <f>IF(AND(ISNUMBER(E158),ISNUMBER($K$4)),E158-($K$7+$K$4*A158),"")</f>
        <v/>
      </c>
    </row>
    <row r="159">
      <c r="A159" s="4" t="n"/>
      <c r="B159" s="4" t="n"/>
      <c r="C159" s="5">
        <f>IF(AND(ISNUMBER(A159),ISNUMBER(B159),ISNUMBER($K$2),ISNUMBER($K$3),$K$3&gt;$K$2),(B159-$K$2)/($K$3-$K$2),"")</f>
        <v/>
      </c>
      <c r="D159" s="5">
        <f>IF(ISNUMBER(C159),IF(B159&lt;$K$3,LN(($K$3-$K$2)/($K$3-B159)),""),"")</f>
        <v/>
      </c>
      <c r="E159" s="5">
        <f>IF(AND(ISNUMBER(C159),ISNUMBER(D159),C159&gt;=0.2,C159&lt;=0.8),D159,"")</f>
        <v/>
      </c>
      <c r="F159" s="5">
        <f>IF(ISNUMBER(E159),A159,"")</f>
        <v/>
      </c>
      <c r="G159" s="5">
        <f>IF(AND(ISNUMBER(E159),ISNUMBER($K$4)),E159-($K$7+$K$4*A159),"")</f>
        <v/>
      </c>
    </row>
    <row r="160">
      <c r="A160" s="4" t="n"/>
      <c r="B160" s="4" t="n"/>
      <c r="C160" s="5">
        <f>IF(AND(ISNUMBER(A160),ISNUMBER(B160),ISNUMBER($K$2),ISNUMBER($K$3),$K$3&gt;$K$2),(B160-$K$2)/($K$3-$K$2),"")</f>
        <v/>
      </c>
      <c r="D160" s="5">
        <f>IF(ISNUMBER(C160),IF(B160&lt;$K$3,LN(($K$3-$K$2)/($K$3-B160)),""),"")</f>
        <v/>
      </c>
      <c r="E160" s="5">
        <f>IF(AND(ISNUMBER(C160),ISNUMBER(D160),C160&gt;=0.2,C160&lt;=0.8),D160,"")</f>
        <v/>
      </c>
      <c r="F160" s="5">
        <f>IF(ISNUMBER(E160),A160,"")</f>
        <v/>
      </c>
      <c r="G160" s="5">
        <f>IF(AND(ISNUMBER(E160),ISNUMBER($K$4)),E160-($K$7+$K$4*A160),"")</f>
        <v/>
      </c>
    </row>
    <row r="161">
      <c r="A161" s="4" t="n"/>
      <c r="B161" s="4" t="n"/>
      <c r="C161" s="5">
        <f>IF(AND(ISNUMBER(A161),ISNUMBER(B161),ISNUMBER($K$2),ISNUMBER($K$3),$K$3&gt;$K$2),(B161-$K$2)/($K$3-$K$2),"")</f>
        <v/>
      </c>
      <c r="D161" s="5">
        <f>IF(ISNUMBER(C161),IF(B161&lt;$K$3,LN(($K$3-$K$2)/($K$3-B161)),""),"")</f>
        <v/>
      </c>
      <c r="E161" s="5">
        <f>IF(AND(ISNUMBER(C161),ISNUMBER(D161),C161&gt;=0.2,C161&lt;=0.8),D161,"")</f>
        <v/>
      </c>
      <c r="F161" s="5">
        <f>IF(ISNUMBER(E161),A161,"")</f>
        <v/>
      </c>
      <c r="G161" s="5">
        <f>IF(AND(ISNUMBER(E161),ISNUMBER($K$4)),E161-($K$7+$K$4*A161),"")</f>
        <v/>
      </c>
    </row>
    <row r="162">
      <c r="A162" s="4" t="n"/>
      <c r="B162" s="4" t="n"/>
      <c r="C162" s="5">
        <f>IF(AND(ISNUMBER(A162),ISNUMBER(B162),ISNUMBER($K$2),ISNUMBER($K$3),$K$3&gt;$K$2),(B162-$K$2)/($K$3-$K$2),"")</f>
        <v/>
      </c>
      <c r="D162" s="5">
        <f>IF(ISNUMBER(C162),IF(B162&lt;$K$3,LN(($K$3-$K$2)/($K$3-B162)),""),"")</f>
        <v/>
      </c>
      <c r="E162" s="5">
        <f>IF(AND(ISNUMBER(C162),ISNUMBER(D162),C162&gt;=0.2,C162&lt;=0.8),D162,"")</f>
        <v/>
      </c>
      <c r="F162" s="5">
        <f>IF(ISNUMBER(E162),A162,"")</f>
        <v/>
      </c>
      <c r="G162" s="5">
        <f>IF(AND(ISNUMBER(E162),ISNUMBER($K$4)),E162-($K$7+$K$4*A162),"")</f>
        <v/>
      </c>
    </row>
    <row r="163">
      <c r="A163" s="4" t="n"/>
      <c r="B163" s="4" t="n"/>
      <c r="C163" s="5">
        <f>IF(AND(ISNUMBER(A163),ISNUMBER(B163),ISNUMBER($K$2),ISNUMBER($K$3),$K$3&gt;$K$2),(B163-$K$2)/($K$3-$K$2),"")</f>
        <v/>
      </c>
      <c r="D163" s="5">
        <f>IF(ISNUMBER(C163),IF(B163&lt;$K$3,LN(($K$3-$K$2)/($K$3-B163)),""),"")</f>
        <v/>
      </c>
      <c r="E163" s="5">
        <f>IF(AND(ISNUMBER(C163),ISNUMBER(D163),C163&gt;=0.2,C163&lt;=0.8),D163,"")</f>
        <v/>
      </c>
      <c r="F163" s="5">
        <f>IF(ISNUMBER(E163),A163,"")</f>
        <v/>
      </c>
      <c r="G163" s="5">
        <f>IF(AND(ISNUMBER(E163),ISNUMBER($K$4)),E163-($K$7+$K$4*A163),"")</f>
        <v/>
      </c>
    </row>
    <row r="164">
      <c r="A164" s="4" t="n"/>
      <c r="B164" s="4" t="n"/>
      <c r="C164" s="5">
        <f>IF(AND(ISNUMBER(A164),ISNUMBER(B164),ISNUMBER($K$2),ISNUMBER($K$3),$K$3&gt;$K$2),(B164-$K$2)/($K$3-$K$2),"")</f>
        <v/>
      </c>
      <c r="D164" s="5">
        <f>IF(ISNUMBER(C164),IF(B164&lt;$K$3,LN(($K$3-$K$2)/($K$3-B164)),""),"")</f>
        <v/>
      </c>
      <c r="E164" s="5">
        <f>IF(AND(ISNUMBER(C164),ISNUMBER(D164),C164&gt;=0.2,C164&lt;=0.8),D164,"")</f>
        <v/>
      </c>
      <c r="F164" s="5">
        <f>IF(ISNUMBER(E164),A164,"")</f>
        <v/>
      </c>
      <c r="G164" s="5">
        <f>IF(AND(ISNUMBER(E164),ISNUMBER($K$4)),E164-($K$7+$K$4*A164),"")</f>
        <v/>
      </c>
    </row>
    <row r="165">
      <c r="A165" s="4" t="n"/>
      <c r="B165" s="4" t="n"/>
      <c r="C165" s="5">
        <f>IF(AND(ISNUMBER(A165),ISNUMBER(B165),ISNUMBER($K$2),ISNUMBER($K$3),$K$3&gt;$K$2),(B165-$K$2)/($K$3-$K$2),"")</f>
        <v/>
      </c>
      <c r="D165" s="5">
        <f>IF(ISNUMBER(C165),IF(B165&lt;$K$3,LN(($K$3-$K$2)/($K$3-B165)),""),"")</f>
        <v/>
      </c>
      <c r="E165" s="5">
        <f>IF(AND(ISNUMBER(C165),ISNUMBER(D165),C165&gt;=0.2,C165&lt;=0.8),D165,"")</f>
        <v/>
      </c>
      <c r="F165" s="5">
        <f>IF(ISNUMBER(E165),A165,"")</f>
        <v/>
      </c>
      <c r="G165" s="5">
        <f>IF(AND(ISNUMBER(E165),ISNUMBER($K$4)),E165-($K$7+$K$4*A165),"")</f>
        <v/>
      </c>
    </row>
    <row r="166">
      <c r="A166" s="4" t="n"/>
      <c r="B166" s="4" t="n"/>
      <c r="C166" s="5">
        <f>IF(AND(ISNUMBER(A166),ISNUMBER(B166),ISNUMBER($K$2),ISNUMBER($K$3),$K$3&gt;$K$2),(B166-$K$2)/($K$3-$K$2),"")</f>
        <v/>
      </c>
      <c r="D166" s="5">
        <f>IF(ISNUMBER(C166),IF(B166&lt;$K$3,LN(($K$3-$K$2)/($K$3-B166)),""),"")</f>
        <v/>
      </c>
      <c r="E166" s="5">
        <f>IF(AND(ISNUMBER(C166),ISNUMBER(D166),C166&gt;=0.2,C166&lt;=0.8),D166,"")</f>
        <v/>
      </c>
      <c r="F166" s="5">
        <f>IF(ISNUMBER(E166),A166,"")</f>
        <v/>
      </c>
      <c r="G166" s="5">
        <f>IF(AND(ISNUMBER(E166),ISNUMBER($K$4)),E166-($K$7+$K$4*A166),"")</f>
        <v/>
      </c>
    </row>
    <row r="167">
      <c r="A167" s="4" t="n"/>
      <c r="B167" s="4" t="n"/>
      <c r="C167" s="5">
        <f>IF(AND(ISNUMBER(A167),ISNUMBER(B167),ISNUMBER($K$2),ISNUMBER($K$3),$K$3&gt;$K$2),(B167-$K$2)/($K$3-$K$2),"")</f>
        <v/>
      </c>
      <c r="D167" s="5">
        <f>IF(ISNUMBER(C167),IF(B167&lt;$K$3,LN(($K$3-$K$2)/($K$3-B167)),""),"")</f>
        <v/>
      </c>
      <c r="E167" s="5">
        <f>IF(AND(ISNUMBER(C167),ISNUMBER(D167),C167&gt;=0.2,C167&lt;=0.8),D167,"")</f>
        <v/>
      </c>
      <c r="F167" s="5">
        <f>IF(ISNUMBER(E167),A167,"")</f>
        <v/>
      </c>
      <c r="G167" s="5">
        <f>IF(AND(ISNUMBER(E167),ISNUMBER($K$4)),E167-($K$7+$K$4*A167),"")</f>
        <v/>
      </c>
    </row>
    <row r="168">
      <c r="A168" s="4" t="n"/>
      <c r="B168" s="4" t="n"/>
      <c r="C168" s="5">
        <f>IF(AND(ISNUMBER(A168),ISNUMBER(B168),ISNUMBER($K$2),ISNUMBER($K$3),$K$3&gt;$K$2),(B168-$K$2)/($K$3-$K$2),"")</f>
        <v/>
      </c>
      <c r="D168" s="5">
        <f>IF(ISNUMBER(C168),IF(B168&lt;$K$3,LN(($K$3-$K$2)/($K$3-B168)),""),"")</f>
        <v/>
      </c>
      <c r="E168" s="5">
        <f>IF(AND(ISNUMBER(C168),ISNUMBER(D168),C168&gt;=0.2,C168&lt;=0.8),D168,"")</f>
        <v/>
      </c>
      <c r="F168" s="5">
        <f>IF(ISNUMBER(E168),A168,"")</f>
        <v/>
      </c>
      <c r="G168" s="5">
        <f>IF(AND(ISNUMBER(E168),ISNUMBER($K$4)),E168-($K$7+$K$4*A168),"")</f>
        <v/>
      </c>
    </row>
    <row r="169">
      <c r="A169" s="4" t="n"/>
      <c r="B169" s="4" t="n"/>
      <c r="C169" s="5">
        <f>IF(AND(ISNUMBER(A169),ISNUMBER(B169),ISNUMBER($K$2),ISNUMBER($K$3),$K$3&gt;$K$2),(B169-$K$2)/($K$3-$K$2),"")</f>
        <v/>
      </c>
      <c r="D169" s="5">
        <f>IF(ISNUMBER(C169),IF(B169&lt;$K$3,LN(($K$3-$K$2)/($K$3-B169)),""),"")</f>
        <v/>
      </c>
      <c r="E169" s="5">
        <f>IF(AND(ISNUMBER(C169),ISNUMBER(D169),C169&gt;=0.2,C169&lt;=0.8),D169,"")</f>
        <v/>
      </c>
      <c r="F169" s="5">
        <f>IF(ISNUMBER(E169),A169,"")</f>
        <v/>
      </c>
      <c r="G169" s="5">
        <f>IF(AND(ISNUMBER(E169),ISNUMBER($K$4)),E169-($K$7+$K$4*A169),"")</f>
        <v/>
      </c>
    </row>
    <row r="170">
      <c r="A170" s="4" t="n"/>
      <c r="B170" s="4" t="n"/>
      <c r="C170" s="5">
        <f>IF(AND(ISNUMBER(A170),ISNUMBER(B170),ISNUMBER($K$2),ISNUMBER($K$3),$K$3&gt;$K$2),(B170-$K$2)/($K$3-$K$2),"")</f>
        <v/>
      </c>
      <c r="D170" s="5">
        <f>IF(ISNUMBER(C170),IF(B170&lt;$K$3,LN(($K$3-$K$2)/($K$3-B170)),""),"")</f>
        <v/>
      </c>
      <c r="E170" s="5">
        <f>IF(AND(ISNUMBER(C170),ISNUMBER(D170),C170&gt;=0.2,C170&lt;=0.8),D170,"")</f>
        <v/>
      </c>
      <c r="F170" s="5">
        <f>IF(ISNUMBER(E170),A170,"")</f>
        <v/>
      </c>
      <c r="G170" s="5">
        <f>IF(AND(ISNUMBER(E170),ISNUMBER($K$4)),E170-($K$7+$K$4*A170),"")</f>
        <v/>
      </c>
    </row>
    <row r="171">
      <c r="A171" s="4" t="n"/>
      <c r="B171" s="4" t="n"/>
      <c r="C171" s="5">
        <f>IF(AND(ISNUMBER(A171),ISNUMBER(B171),ISNUMBER($K$2),ISNUMBER($K$3),$K$3&gt;$K$2),(B171-$K$2)/($K$3-$K$2),"")</f>
        <v/>
      </c>
      <c r="D171" s="5">
        <f>IF(ISNUMBER(C171),IF(B171&lt;$K$3,LN(($K$3-$K$2)/($K$3-B171)),""),"")</f>
        <v/>
      </c>
      <c r="E171" s="5">
        <f>IF(AND(ISNUMBER(C171),ISNUMBER(D171),C171&gt;=0.2,C171&lt;=0.8),D171,"")</f>
        <v/>
      </c>
      <c r="F171" s="5">
        <f>IF(ISNUMBER(E171),A171,"")</f>
        <v/>
      </c>
      <c r="G171" s="5">
        <f>IF(AND(ISNUMBER(E171),ISNUMBER($K$4)),E171-($K$7+$K$4*A171),"")</f>
        <v/>
      </c>
    </row>
    <row r="172">
      <c r="A172" s="4" t="n"/>
      <c r="B172" s="4" t="n"/>
      <c r="C172" s="5">
        <f>IF(AND(ISNUMBER(A172),ISNUMBER(B172),ISNUMBER($K$2),ISNUMBER($K$3),$K$3&gt;$K$2),(B172-$K$2)/($K$3-$K$2),"")</f>
        <v/>
      </c>
      <c r="D172" s="5">
        <f>IF(ISNUMBER(C172),IF(B172&lt;$K$3,LN(($K$3-$K$2)/($K$3-B172)),""),"")</f>
        <v/>
      </c>
      <c r="E172" s="5">
        <f>IF(AND(ISNUMBER(C172),ISNUMBER(D172),C172&gt;=0.2,C172&lt;=0.8),D172,"")</f>
        <v/>
      </c>
      <c r="F172" s="5">
        <f>IF(ISNUMBER(E172),A172,"")</f>
        <v/>
      </c>
      <c r="G172" s="5">
        <f>IF(AND(ISNUMBER(E172),ISNUMBER($K$4)),E172-($K$7+$K$4*A172),"")</f>
        <v/>
      </c>
    </row>
    <row r="173">
      <c r="A173" s="4" t="n"/>
      <c r="B173" s="4" t="n"/>
      <c r="C173" s="5">
        <f>IF(AND(ISNUMBER(A173),ISNUMBER(B173),ISNUMBER($K$2),ISNUMBER($K$3),$K$3&gt;$K$2),(B173-$K$2)/($K$3-$K$2),"")</f>
        <v/>
      </c>
      <c r="D173" s="5">
        <f>IF(ISNUMBER(C173),IF(B173&lt;$K$3,LN(($K$3-$K$2)/($K$3-B173)),""),"")</f>
        <v/>
      </c>
      <c r="E173" s="5">
        <f>IF(AND(ISNUMBER(C173),ISNUMBER(D173),C173&gt;=0.2,C173&lt;=0.8),D173,"")</f>
        <v/>
      </c>
      <c r="F173" s="5">
        <f>IF(ISNUMBER(E173),A173,"")</f>
        <v/>
      </c>
      <c r="G173" s="5">
        <f>IF(AND(ISNUMBER(E173),ISNUMBER($K$4)),E173-($K$7+$K$4*A173),"")</f>
        <v/>
      </c>
    </row>
    <row r="174">
      <c r="A174" s="4" t="n"/>
      <c r="B174" s="4" t="n"/>
      <c r="C174" s="5">
        <f>IF(AND(ISNUMBER(A174),ISNUMBER(B174),ISNUMBER($K$2),ISNUMBER($K$3),$K$3&gt;$K$2),(B174-$K$2)/($K$3-$K$2),"")</f>
        <v/>
      </c>
      <c r="D174" s="5">
        <f>IF(ISNUMBER(C174),IF(B174&lt;$K$3,LN(($K$3-$K$2)/($K$3-B174)),""),"")</f>
        <v/>
      </c>
      <c r="E174" s="5">
        <f>IF(AND(ISNUMBER(C174),ISNUMBER(D174),C174&gt;=0.2,C174&lt;=0.8),D174,"")</f>
        <v/>
      </c>
      <c r="F174" s="5">
        <f>IF(ISNUMBER(E174),A174,"")</f>
        <v/>
      </c>
      <c r="G174" s="5">
        <f>IF(AND(ISNUMBER(E174),ISNUMBER($K$4)),E174-($K$7+$K$4*A174),"")</f>
        <v/>
      </c>
    </row>
    <row r="175">
      <c r="A175" s="4" t="n"/>
      <c r="B175" s="4" t="n"/>
      <c r="C175" s="5">
        <f>IF(AND(ISNUMBER(A175),ISNUMBER(B175),ISNUMBER($K$2),ISNUMBER($K$3),$K$3&gt;$K$2),(B175-$K$2)/($K$3-$K$2),"")</f>
        <v/>
      </c>
      <c r="D175" s="5">
        <f>IF(ISNUMBER(C175),IF(B175&lt;$K$3,LN(($K$3-$K$2)/($K$3-B175)),""),"")</f>
        <v/>
      </c>
      <c r="E175" s="5">
        <f>IF(AND(ISNUMBER(C175),ISNUMBER(D175),C175&gt;=0.2,C175&lt;=0.8),D175,"")</f>
        <v/>
      </c>
      <c r="F175" s="5">
        <f>IF(ISNUMBER(E175),A175,"")</f>
        <v/>
      </c>
      <c r="G175" s="5">
        <f>IF(AND(ISNUMBER(E175),ISNUMBER($K$4)),E175-($K$7+$K$4*A175),"")</f>
        <v/>
      </c>
    </row>
    <row r="176">
      <c r="A176" s="4" t="n"/>
      <c r="B176" s="4" t="n"/>
      <c r="C176" s="5">
        <f>IF(AND(ISNUMBER(A176),ISNUMBER(B176),ISNUMBER($K$2),ISNUMBER($K$3),$K$3&gt;$K$2),(B176-$K$2)/($K$3-$K$2),"")</f>
        <v/>
      </c>
      <c r="D176" s="5">
        <f>IF(ISNUMBER(C176),IF(B176&lt;$K$3,LN(($K$3-$K$2)/($K$3-B176)),""),"")</f>
        <v/>
      </c>
      <c r="E176" s="5">
        <f>IF(AND(ISNUMBER(C176),ISNUMBER(D176),C176&gt;=0.2,C176&lt;=0.8),D176,"")</f>
        <v/>
      </c>
      <c r="F176" s="5">
        <f>IF(ISNUMBER(E176),A176,"")</f>
        <v/>
      </c>
      <c r="G176" s="5">
        <f>IF(AND(ISNUMBER(E176),ISNUMBER($K$4)),E176-($K$7+$K$4*A176),"")</f>
        <v/>
      </c>
    </row>
    <row r="177">
      <c r="A177" s="4" t="n"/>
      <c r="B177" s="4" t="n"/>
      <c r="C177" s="5">
        <f>IF(AND(ISNUMBER(A177),ISNUMBER(B177),ISNUMBER($K$2),ISNUMBER($K$3),$K$3&gt;$K$2),(B177-$K$2)/($K$3-$K$2),"")</f>
        <v/>
      </c>
      <c r="D177" s="5">
        <f>IF(ISNUMBER(C177),IF(B177&lt;$K$3,LN(($K$3-$K$2)/($K$3-B177)),""),"")</f>
        <v/>
      </c>
      <c r="E177" s="5">
        <f>IF(AND(ISNUMBER(C177),ISNUMBER(D177),C177&gt;=0.2,C177&lt;=0.8),D177,"")</f>
        <v/>
      </c>
      <c r="F177" s="5">
        <f>IF(ISNUMBER(E177),A177,"")</f>
        <v/>
      </c>
      <c r="G177" s="5">
        <f>IF(AND(ISNUMBER(E177),ISNUMBER($K$4)),E177-($K$7+$K$4*A177),"")</f>
        <v/>
      </c>
    </row>
    <row r="178">
      <c r="A178" s="4" t="n"/>
      <c r="B178" s="4" t="n"/>
      <c r="C178" s="5">
        <f>IF(AND(ISNUMBER(A178),ISNUMBER(B178),ISNUMBER($K$2),ISNUMBER($K$3),$K$3&gt;$K$2),(B178-$K$2)/($K$3-$K$2),"")</f>
        <v/>
      </c>
      <c r="D178" s="5">
        <f>IF(ISNUMBER(C178),IF(B178&lt;$K$3,LN(($K$3-$K$2)/($K$3-B178)),""),"")</f>
        <v/>
      </c>
      <c r="E178" s="5">
        <f>IF(AND(ISNUMBER(C178),ISNUMBER(D178),C178&gt;=0.2,C178&lt;=0.8),D178,"")</f>
        <v/>
      </c>
      <c r="F178" s="5">
        <f>IF(ISNUMBER(E178),A178,"")</f>
        <v/>
      </c>
      <c r="G178" s="5">
        <f>IF(AND(ISNUMBER(E178),ISNUMBER($K$4)),E178-($K$7+$K$4*A178),"")</f>
        <v/>
      </c>
    </row>
    <row r="179">
      <c r="A179" s="4" t="n"/>
      <c r="B179" s="4" t="n"/>
      <c r="C179" s="5">
        <f>IF(AND(ISNUMBER(A179),ISNUMBER(B179),ISNUMBER($K$2),ISNUMBER($K$3),$K$3&gt;$K$2),(B179-$K$2)/($K$3-$K$2),"")</f>
        <v/>
      </c>
      <c r="D179" s="5">
        <f>IF(ISNUMBER(C179),IF(B179&lt;$K$3,LN(($K$3-$K$2)/($K$3-B179)),""),"")</f>
        <v/>
      </c>
      <c r="E179" s="5">
        <f>IF(AND(ISNUMBER(C179),ISNUMBER(D179),C179&gt;=0.2,C179&lt;=0.8),D179,"")</f>
        <v/>
      </c>
      <c r="F179" s="5">
        <f>IF(ISNUMBER(E179),A179,"")</f>
        <v/>
      </c>
      <c r="G179" s="5">
        <f>IF(AND(ISNUMBER(E179),ISNUMBER($K$4)),E179-($K$7+$K$4*A179),"")</f>
        <v/>
      </c>
    </row>
    <row r="180">
      <c r="A180" s="4" t="n"/>
      <c r="B180" s="4" t="n"/>
      <c r="C180" s="5">
        <f>IF(AND(ISNUMBER(A180),ISNUMBER(B180),ISNUMBER($K$2),ISNUMBER($K$3),$K$3&gt;$K$2),(B180-$K$2)/($K$3-$K$2),"")</f>
        <v/>
      </c>
      <c r="D180" s="5">
        <f>IF(ISNUMBER(C180),IF(B180&lt;$K$3,LN(($K$3-$K$2)/($K$3-B180)),""),"")</f>
        <v/>
      </c>
      <c r="E180" s="5">
        <f>IF(AND(ISNUMBER(C180),ISNUMBER(D180),C180&gt;=0.2,C180&lt;=0.8),D180,"")</f>
        <v/>
      </c>
      <c r="F180" s="5">
        <f>IF(ISNUMBER(E180),A180,"")</f>
        <v/>
      </c>
      <c r="G180" s="5">
        <f>IF(AND(ISNUMBER(E180),ISNUMBER($K$4)),E180-($K$7+$K$4*A180),"")</f>
        <v/>
      </c>
    </row>
    <row r="181">
      <c r="A181" s="4" t="n"/>
      <c r="B181" s="4" t="n"/>
      <c r="C181" s="5">
        <f>IF(AND(ISNUMBER(A181),ISNUMBER(B181),ISNUMBER($K$2),ISNUMBER($K$3),$K$3&gt;$K$2),(B181-$K$2)/($K$3-$K$2),"")</f>
        <v/>
      </c>
      <c r="D181" s="5">
        <f>IF(ISNUMBER(C181),IF(B181&lt;$K$3,LN(($K$3-$K$2)/($K$3-B181)),""),"")</f>
        <v/>
      </c>
      <c r="E181" s="5">
        <f>IF(AND(ISNUMBER(C181),ISNUMBER(D181),C181&gt;=0.2,C181&lt;=0.8),D181,"")</f>
        <v/>
      </c>
      <c r="F181" s="5">
        <f>IF(ISNUMBER(E181),A181,"")</f>
        <v/>
      </c>
      <c r="G181" s="5">
        <f>IF(AND(ISNUMBER(E181),ISNUMBER($K$4)),E181-($K$7+$K$4*A181),"")</f>
        <v/>
      </c>
    </row>
    <row r="182">
      <c r="A182" s="4" t="n"/>
      <c r="B182" s="4" t="n"/>
      <c r="C182" s="5">
        <f>IF(AND(ISNUMBER(A182),ISNUMBER(B182),ISNUMBER($K$2),ISNUMBER($K$3),$K$3&gt;$K$2),(B182-$K$2)/($K$3-$K$2),"")</f>
        <v/>
      </c>
      <c r="D182" s="5">
        <f>IF(ISNUMBER(C182),IF(B182&lt;$K$3,LN(($K$3-$K$2)/($K$3-B182)),""),"")</f>
        <v/>
      </c>
      <c r="E182" s="5">
        <f>IF(AND(ISNUMBER(C182),ISNUMBER(D182),C182&gt;=0.2,C182&lt;=0.8),D182,"")</f>
        <v/>
      </c>
      <c r="F182" s="5">
        <f>IF(ISNUMBER(E182),A182,"")</f>
        <v/>
      </c>
      <c r="G182" s="5">
        <f>IF(AND(ISNUMBER(E182),ISNUMBER($K$4)),E182-($K$7+$K$4*A182),"")</f>
        <v/>
      </c>
    </row>
    <row r="183">
      <c r="A183" s="4" t="n"/>
      <c r="B183" s="4" t="n"/>
      <c r="C183" s="5">
        <f>IF(AND(ISNUMBER(A183),ISNUMBER(B183),ISNUMBER($K$2),ISNUMBER($K$3),$K$3&gt;$K$2),(B183-$K$2)/($K$3-$K$2),"")</f>
        <v/>
      </c>
      <c r="D183" s="5">
        <f>IF(ISNUMBER(C183),IF(B183&lt;$K$3,LN(($K$3-$K$2)/($K$3-B183)),""),"")</f>
        <v/>
      </c>
      <c r="E183" s="5">
        <f>IF(AND(ISNUMBER(C183),ISNUMBER(D183),C183&gt;=0.2,C183&lt;=0.8),D183,"")</f>
        <v/>
      </c>
      <c r="F183" s="5">
        <f>IF(ISNUMBER(E183),A183,"")</f>
        <v/>
      </c>
      <c r="G183" s="5">
        <f>IF(AND(ISNUMBER(E183),ISNUMBER($K$4)),E183-($K$7+$K$4*A183),"")</f>
        <v/>
      </c>
    </row>
    <row r="184">
      <c r="A184" s="4" t="n"/>
      <c r="B184" s="4" t="n"/>
      <c r="C184" s="5">
        <f>IF(AND(ISNUMBER(A184),ISNUMBER(B184),ISNUMBER($K$2),ISNUMBER($K$3),$K$3&gt;$K$2),(B184-$K$2)/($K$3-$K$2),"")</f>
        <v/>
      </c>
      <c r="D184" s="5">
        <f>IF(ISNUMBER(C184),IF(B184&lt;$K$3,LN(($K$3-$K$2)/($K$3-B184)),""),"")</f>
        <v/>
      </c>
      <c r="E184" s="5">
        <f>IF(AND(ISNUMBER(C184),ISNUMBER(D184),C184&gt;=0.2,C184&lt;=0.8),D184,"")</f>
        <v/>
      </c>
      <c r="F184" s="5">
        <f>IF(ISNUMBER(E184),A184,"")</f>
        <v/>
      </c>
      <c r="G184" s="5">
        <f>IF(AND(ISNUMBER(E184),ISNUMBER($K$4)),E184-($K$7+$K$4*A184),"")</f>
        <v/>
      </c>
    </row>
    <row r="185">
      <c r="A185" s="4" t="n"/>
      <c r="B185" s="4" t="n"/>
      <c r="C185" s="5">
        <f>IF(AND(ISNUMBER(A185),ISNUMBER(B185),ISNUMBER($K$2),ISNUMBER($K$3),$K$3&gt;$K$2),(B185-$K$2)/($K$3-$K$2),"")</f>
        <v/>
      </c>
      <c r="D185" s="5">
        <f>IF(ISNUMBER(C185),IF(B185&lt;$K$3,LN(($K$3-$K$2)/($K$3-B185)),""),"")</f>
        <v/>
      </c>
      <c r="E185" s="5">
        <f>IF(AND(ISNUMBER(C185),ISNUMBER(D185),C185&gt;=0.2,C185&lt;=0.8),D185,"")</f>
        <v/>
      </c>
      <c r="F185" s="5">
        <f>IF(ISNUMBER(E185),A185,"")</f>
        <v/>
      </c>
      <c r="G185" s="5">
        <f>IF(AND(ISNUMBER(E185),ISNUMBER($K$4)),E185-($K$7+$K$4*A185),"")</f>
        <v/>
      </c>
    </row>
    <row r="186">
      <c r="A186" s="4" t="n"/>
      <c r="B186" s="4" t="n"/>
      <c r="C186" s="5">
        <f>IF(AND(ISNUMBER(A186),ISNUMBER(B186),ISNUMBER($K$2),ISNUMBER($K$3),$K$3&gt;$K$2),(B186-$K$2)/($K$3-$K$2),"")</f>
        <v/>
      </c>
      <c r="D186" s="5">
        <f>IF(ISNUMBER(C186),IF(B186&lt;$K$3,LN(($K$3-$K$2)/($K$3-B186)),""),"")</f>
        <v/>
      </c>
      <c r="E186" s="5">
        <f>IF(AND(ISNUMBER(C186),ISNUMBER(D186),C186&gt;=0.2,C186&lt;=0.8),D186,"")</f>
        <v/>
      </c>
      <c r="F186" s="5">
        <f>IF(ISNUMBER(E186),A186,"")</f>
        <v/>
      </c>
      <c r="G186" s="5">
        <f>IF(AND(ISNUMBER(E186),ISNUMBER($K$4)),E186-($K$7+$K$4*A186),"")</f>
        <v/>
      </c>
    </row>
    <row r="187">
      <c r="A187" s="4" t="n"/>
      <c r="B187" s="4" t="n"/>
      <c r="C187" s="5">
        <f>IF(AND(ISNUMBER(A187),ISNUMBER(B187),ISNUMBER($K$2),ISNUMBER($K$3),$K$3&gt;$K$2),(B187-$K$2)/($K$3-$K$2),"")</f>
        <v/>
      </c>
      <c r="D187" s="5">
        <f>IF(ISNUMBER(C187),IF(B187&lt;$K$3,LN(($K$3-$K$2)/($K$3-B187)),""),"")</f>
        <v/>
      </c>
      <c r="E187" s="5">
        <f>IF(AND(ISNUMBER(C187),ISNUMBER(D187),C187&gt;=0.2,C187&lt;=0.8),D187,"")</f>
        <v/>
      </c>
      <c r="F187" s="5">
        <f>IF(ISNUMBER(E187),A187,"")</f>
        <v/>
      </c>
      <c r="G187" s="5">
        <f>IF(AND(ISNUMBER(E187),ISNUMBER($K$4)),E187-($K$7+$K$4*A187),"")</f>
        <v/>
      </c>
    </row>
    <row r="188">
      <c r="A188" s="4" t="n"/>
      <c r="B188" s="4" t="n"/>
      <c r="C188" s="5">
        <f>IF(AND(ISNUMBER(A188),ISNUMBER(B188),ISNUMBER($K$2),ISNUMBER($K$3),$K$3&gt;$K$2),(B188-$K$2)/($K$3-$K$2),"")</f>
        <v/>
      </c>
      <c r="D188" s="5">
        <f>IF(ISNUMBER(C188),IF(B188&lt;$K$3,LN(($K$3-$K$2)/($K$3-B188)),""),"")</f>
        <v/>
      </c>
      <c r="E188" s="5">
        <f>IF(AND(ISNUMBER(C188),ISNUMBER(D188),C188&gt;=0.2,C188&lt;=0.8),D188,"")</f>
        <v/>
      </c>
      <c r="F188" s="5">
        <f>IF(ISNUMBER(E188),A188,"")</f>
        <v/>
      </c>
      <c r="G188" s="5">
        <f>IF(AND(ISNUMBER(E188),ISNUMBER($K$4)),E188-($K$7+$K$4*A188),"")</f>
        <v/>
      </c>
    </row>
    <row r="189">
      <c r="A189" s="4" t="n"/>
      <c r="B189" s="4" t="n"/>
      <c r="C189" s="5">
        <f>IF(AND(ISNUMBER(A189),ISNUMBER(B189),ISNUMBER($K$2),ISNUMBER($K$3),$K$3&gt;$K$2),(B189-$K$2)/($K$3-$K$2),"")</f>
        <v/>
      </c>
      <c r="D189" s="5">
        <f>IF(ISNUMBER(C189),IF(B189&lt;$K$3,LN(($K$3-$K$2)/($K$3-B189)),""),"")</f>
        <v/>
      </c>
      <c r="E189" s="5">
        <f>IF(AND(ISNUMBER(C189),ISNUMBER(D189),C189&gt;=0.2,C189&lt;=0.8),D189,"")</f>
        <v/>
      </c>
      <c r="F189" s="5">
        <f>IF(ISNUMBER(E189),A189,"")</f>
        <v/>
      </c>
      <c r="G189" s="5">
        <f>IF(AND(ISNUMBER(E189),ISNUMBER($K$4)),E189-($K$7+$K$4*A189),"")</f>
        <v/>
      </c>
    </row>
    <row r="190">
      <c r="A190" s="4" t="n"/>
      <c r="B190" s="4" t="n"/>
      <c r="C190" s="5">
        <f>IF(AND(ISNUMBER(A190),ISNUMBER(B190),ISNUMBER($K$2),ISNUMBER($K$3),$K$3&gt;$K$2),(B190-$K$2)/($K$3-$K$2),"")</f>
        <v/>
      </c>
      <c r="D190" s="5">
        <f>IF(ISNUMBER(C190),IF(B190&lt;$K$3,LN(($K$3-$K$2)/($K$3-B190)),""),"")</f>
        <v/>
      </c>
      <c r="E190" s="5">
        <f>IF(AND(ISNUMBER(C190),ISNUMBER(D190),C190&gt;=0.2,C190&lt;=0.8),D190,"")</f>
        <v/>
      </c>
      <c r="F190" s="5">
        <f>IF(ISNUMBER(E190),A190,"")</f>
        <v/>
      </c>
      <c r="G190" s="5">
        <f>IF(AND(ISNUMBER(E190),ISNUMBER($K$4)),E190-($K$7+$K$4*A190),"")</f>
        <v/>
      </c>
    </row>
    <row r="191">
      <c r="A191" s="4" t="n"/>
      <c r="B191" s="4" t="n"/>
      <c r="C191" s="5">
        <f>IF(AND(ISNUMBER(A191),ISNUMBER(B191),ISNUMBER($K$2),ISNUMBER($K$3),$K$3&gt;$K$2),(B191-$K$2)/($K$3-$K$2),"")</f>
        <v/>
      </c>
      <c r="D191" s="5">
        <f>IF(ISNUMBER(C191),IF(B191&lt;$K$3,LN(($K$3-$K$2)/($K$3-B191)),""),"")</f>
        <v/>
      </c>
      <c r="E191" s="5">
        <f>IF(AND(ISNUMBER(C191),ISNUMBER(D191),C191&gt;=0.2,C191&lt;=0.8),D191,"")</f>
        <v/>
      </c>
      <c r="F191" s="5">
        <f>IF(ISNUMBER(E191),A191,"")</f>
        <v/>
      </c>
      <c r="G191" s="5">
        <f>IF(AND(ISNUMBER(E191),ISNUMBER($K$4)),E191-($K$7+$K$4*A191),"")</f>
        <v/>
      </c>
    </row>
    <row r="192">
      <c r="A192" s="4" t="n"/>
      <c r="B192" s="4" t="n"/>
      <c r="C192" s="5">
        <f>IF(AND(ISNUMBER(A192),ISNUMBER(B192),ISNUMBER($K$2),ISNUMBER($K$3),$K$3&gt;$K$2),(B192-$K$2)/($K$3-$K$2),"")</f>
        <v/>
      </c>
      <c r="D192" s="5">
        <f>IF(ISNUMBER(C192),IF(B192&lt;$K$3,LN(($K$3-$K$2)/($K$3-B192)),""),"")</f>
        <v/>
      </c>
      <c r="E192" s="5">
        <f>IF(AND(ISNUMBER(C192),ISNUMBER(D192),C192&gt;=0.2,C192&lt;=0.8),D192,"")</f>
        <v/>
      </c>
      <c r="F192" s="5">
        <f>IF(ISNUMBER(E192),A192,"")</f>
        <v/>
      </c>
      <c r="G192" s="5">
        <f>IF(AND(ISNUMBER(E192),ISNUMBER($K$4)),E192-($K$7+$K$4*A192),"")</f>
        <v/>
      </c>
    </row>
    <row r="193">
      <c r="A193" s="4" t="n"/>
      <c r="B193" s="4" t="n"/>
      <c r="C193" s="5">
        <f>IF(AND(ISNUMBER(A193),ISNUMBER(B193),ISNUMBER($K$2),ISNUMBER($K$3),$K$3&gt;$K$2),(B193-$K$2)/($K$3-$K$2),"")</f>
        <v/>
      </c>
      <c r="D193" s="5">
        <f>IF(ISNUMBER(C193),IF(B193&lt;$K$3,LN(($K$3-$K$2)/($K$3-B193)),""),"")</f>
        <v/>
      </c>
      <c r="E193" s="5">
        <f>IF(AND(ISNUMBER(C193),ISNUMBER(D193),C193&gt;=0.2,C193&lt;=0.8),D193,"")</f>
        <v/>
      </c>
      <c r="F193" s="5">
        <f>IF(ISNUMBER(E193),A193,"")</f>
        <v/>
      </c>
      <c r="G193" s="5">
        <f>IF(AND(ISNUMBER(E193),ISNUMBER($K$4)),E193-($K$7+$K$4*A193),"")</f>
        <v/>
      </c>
    </row>
    <row r="194">
      <c r="A194" s="4" t="n"/>
      <c r="B194" s="4" t="n"/>
      <c r="C194" s="5">
        <f>IF(AND(ISNUMBER(A194),ISNUMBER(B194),ISNUMBER($K$2),ISNUMBER($K$3),$K$3&gt;$K$2),(B194-$K$2)/($K$3-$K$2),"")</f>
        <v/>
      </c>
      <c r="D194" s="5">
        <f>IF(ISNUMBER(C194),IF(B194&lt;$K$3,LN(($K$3-$K$2)/($K$3-B194)),""),"")</f>
        <v/>
      </c>
      <c r="E194" s="5">
        <f>IF(AND(ISNUMBER(C194),ISNUMBER(D194),C194&gt;=0.2,C194&lt;=0.8),D194,"")</f>
        <v/>
      </c>
      <c r="F194" s="5">
        <f>IF(ISNUMBER(E194),A194,"")</f>
        <v/>
      </c>
      <c r="G194" s="5">
        <f>IF(AND(ISNUMBER(E194),ISNUMBER($K$4)),E194-($K$7+$K$4*A194),"")</f>
        <v/>
      </c>
    </row>
    <row r="195">
      <c r="A195" s="4" t="n"/>
      <c r="B195" s="4" t="n"/>
      <c r="C195" s="5">
        <f>IF(AND(ISNUMBER(A195),ISNUMBER(B195),ISNUMBER($K$2),ISNUMBER($K$3),$K$3&gt;$K$2),(B195-$K$2)/($K$3-$K$2),"")</f>
        <v/>
      </c>
      <c r="D195" s="5">
        <f>IF(ISNUMBER(C195),IF(B195&lt;$K$3,LN(($K$3-$K$2)/($K$3-B195)),""),"")</f>
        <v/>
      </c>
      <c r="E195" s="5">
        <f>IF(AND(ISNUMBER(C195),ISNUMBER(D195),C195&gt;=0.2,C195&lt;=0.8),D195,"")</f>
        <v/>
      </c>
      <c r="F195" s="5">
        <f>IF(ISNUMBER(E195),A195,"")</f>
        <v/>
      </c>
      <c r="G195" s="5">
        <f>IF(AND(ISNUMBER(E195),ISNUMBER($K$4)),E195-($K$7+$K$4*A195),"")</f>
        <v/>
      </c>
    </row>
    <row r="196">
      <c r="A196" s="4" t="n"/>
      <c r="B196" s="4" t="n"/>
      <c r="C196" s="5">
        <f>IF(AND(ISNUMBER(A196),ISNUMBER(B196),ISNUMBER($K$2),ISNUMBER($K$3),$K$3&gt;$K$2),(B196-$K$2)/($K$3-$K$2),"")</f>
        <v/>
      </c>
      <c r="D196" s="5">
        <f>IF(ISNUMBER(C196),IF(B196&lt;$K$3,LN(($K$3-$K$2)/($K$3-B196)),""),"")</f>
        <v/>
      </c>
      <c r="E196" s="5">
        <f>IF(AND(ISNUMBER(C196),ISNUMBER(D196),C196&gt;=0.2,C196&lt;=0.8),D196,"")</f>
        <v/>
      </c>
      <c r="F196" s="5">
        <f>IF(ISNUMBER(E196),A196,"")</f>
        <v/>
      </c>
      <c r="G196" s="5">
        <f>IF(AND(ISNUMBER(E196),ISNUMBER($K$4)),E196-($K$7+$K$4*A196),"")</f>
        <v/>
      </c>
    </row>
    <row r="197">
      <c r="A197" s="4" t="n"/>
      <c r="B197" s="4" t="n"/>
      <c r="C197" s="5">
        <f>IF(AND(ISNUMBER(A197),ISNUMBER(B197),ISNUMBER($K$2),ISNUMBER($K$3),$K$3&gt;$K$2),(B197-$K$2)/($K$3-$K$2),"")</f>
        <v/>
      </c>
      <c r="D197" s="5">
        <f>IF(ISNUMBER(C197),IF(B197&lt;$K$3,LN(($K$3-$K$2)/($K$3-B197)),""),"")</f>
        <v/>
      </c>
      <c r="E197" s="5">
        <f>IF(AND(ISNUMBER(C197),ISNUMBER(D197),C197&gt;=0.2,C197&lt;=0.8),D197,"")</f>
        <v/>
      </c>
      <c r="F197" s="5">
        <f>IF(ISNUMBER(E197),A197,"")</f>
        <v/>
      </c>
      <c r="G197" s="5">
        <f>IF(AND(ISNUMBER(E197),ISNUMBER($K$4)),E197-($K$7+$K$4*A197),"")</f>
        <v/>
      </c>
    </row>
    <row r="198">
      <c r="A198" s="4" t="n"/>
      <c r="B198" s="4" t="n"/>
      <c r="C198" s="5">
        <f>IF(AND(ISNUMBER(A198),ISNUMBER(B198),ISNUMBER($K$2),ISNUMBER($K$3),$K$3&gt;$K$2),(B198-$K$2)/($K$3-$K$2),"")</f>
        <v/>
      </c>
      <c r="D198" s="5">
        <f>IF(ISNUMBER(C198),IF(B198&lt;$K$3,LN(($K$3-$K$2)/($K$3-B198)),""),"")</f>
        <v/>
      </c>
      <c r="E198" s="5">
        <f>IF(AND(ISNUMBER(C198),ISNUMBER(D198),C198&gt;=0.2,C198&lt;=0.8),D198,"")</f>
        <v/>
      </c>
      <c r="F198" s="5">
        <f>IF(ISNUMBER(E198),A198,"")</f>
        <v/>
      </c>
      <c r="G198" s="5">
        <f>IF(AND(ISNUMBER(E198),ISNUMBER($K$4)),E198-($K$7+$K$4*A198),"")</f>
        <v/>
      </c>
    </row>
    <row r="199">
      <c r="A199" s="4" t="n"/>
      <c r="B199" s="4" t="n"/>
      <c r="C199" s="5">
        <f>IF(AND(ISNUMBER(A199),ISNUMBER(B199),ISNUMBER($K$2),ISNUMBER($K$3),$K$3&gt;$K$2),(B199-$K$2)/($K$3-$K$2),"")</f>
        <v/>
      </c>
      <c r="D199" s="5">
        <f>IF(ISNUMBER(C199),IF(B199&lt;$K$3,LN(($K$3-$K$2)/($K$3-B199)),""),"")</f>
        <v/>
      </c>
      <c r="E199" s="5">
        <f>IF(AND(ISNUMBER(C199),ISNUMBER(D199),C199&gt;=0.2,C199&lt;=0.8),D199,"")</f>
        <v/>
      </c>
      <c r="F199" s="5">
        <f>IF(ISNUMBER(E199),A199,"")</f>
        <v/>
      </c>
      <c r="G199" s="5">
        <f>IF(AND(ISNUMBER(E199),ISNUMBER($K$4)),E199-($K$7+$K$4*A199),"")</f>
        <v/>
      </c>
    </row>
    <row r="200">
      <c r="A200" s="4" t="n"/>
      <c r="B200" s="4" t="n"/>
      <c r="C200" s="5">
        <f>IF(AND(ISNUMBER(A200),ISNUMBER(B200),ISNUMBER($K$2),ISNUMBER($K$3),$K$3&gt;$K$2),(B200-$K$2)/($K$3-$K$2),"")</f>
        <v/>
      </c>
      <c r="D200" s="5">
        <f>IF(ISNUMBER(C200),IF(B200&lt;$K$3,LN(($K$3-$K$2)/($K$3-B200)),""),"")</f>
        <v/>
      </c>
      <c r="E200" s="5">
        <f>IF(AND(ISNUMBER(C200),ISNUMBER(D200),C200&gt;=0.2,C200&lt;=0.8),D200,"")</f>
        <v/>
      </c>
      <c r="F200" s="5">
        <f>IF(ISNUMBER(E200),A200,"")</f>
        <v/>
      </c>
      <c r="G200" s="5">
        <f>IF(AND(ISNUMBER(E200),ISNUMBER($K$4)),E200-($K$7+$K$4*A200),"")</f>
        <v/>
      </c>
    </row>
    <row r="201">
      <c r="A201" s="4" t="n"/>
      <c r="B201" s="4" t="n"/>
      <c r="C201" s="5">
        <f>IF(AND(ISNUMBER(A201),ISNUMBER(B201),ISNUMBER($K$2),ISNUMBER($K$3),$K$3&gt;$K$2),(B201-$K$2)/($K$3-$K$2),"")</f>
        <v/>
      </c>
      <c r="D201" s="5">
        <f>IF(ISNUMBER(C201),IF(B201&lt;$K$3,LN(($K$3-$K$2)/($K$3-B201)),""),"")</f>
        <v/>
      </c>
      <c r="E201" s="5">
        <f>IF(AND(ISNUMBER(C201),ISNUMBER(D201),C201&gt;=0.2,C201&lt;=0.8),D201,"")</f>
        <v/>
      </c>
      <c r="F201" s="5">
        <f>IF(ISNUMBER(E201),A201,"")</f>
        <v/>
      </c>
      <c r="G201" s="5">
        <f>IF(AND(ISNUMBER(E201),ISNUMBER($K$4)),E201-($K$7+$K$4*A201),"")</f>
        <v/>
      </c>
    </row>
    <row r="202">
      <c r="A202" s="4" t="n"/>
      <c r="B202" s="4" t="n"/>
      <c r="C202" s="5">
        <f>IF(AND(ISNUMBER(A202),ISNUMBER(B202),ISNUMBER($K$2),ISNUMBER($K$3),$K$3&gt;$K$2),(B202-$K$2)/($K$3-$K$2),"")</f>
        <v/>
      </c>
      <c r="D202" s="5">
        <f>IF(ISNUMBER(C202),IF(B202&lt;$K$3,LN(($K$3-$K$2)/($K$3-B202)),""),"")</f>
        <v/>
      </c>
      <c r="E202" s="5">
        <f>IF(AND(ISNUMBER(C202),ISNUMBER(D202),C202&gt;=0.2,C202&lt;=0.8),D202,"")</f>
        <v/>
      </c>
      <c r="F202" s="5">
        <f>IF(ISNUMBER(E202),A202,"")</f>
        <v/>
      </c>
      <c r="G202" s="5">
        <f>IF(AND(ISNUMBER(E202),ISNUMBER($K$4)),E202-($K$7+$K$4*A202),"")</f>
        <v/>
      </c>
    </row>
    <row r="203">
      <c r="A203" s="4" t="n"/>
      <c r="B203" s="4" t="n"/>
      <c r="C203" s="5">
        <f>IF(AND(ISNUMBER(A203),ISNUMBER(B203),ISNUMBER($K$2),ISNUMBER($K$3),$K$3&gt;$K$2),(B203-$K$2)/($K$3-$K$2),"")</f>
        <v/>
      </c>
      <c r="D203" s="5">
        <f>IF(ISNUMBER(C203),IF(B203&lt;$K$3,LN(($K$3-$K$2)/($K$3-B203)),""),"")</f>
        <v/>
      </c>
      <c r="E203" s="5">
        <f>IF(AND(ISNUMBER(C203),ISNUMBER(D203),C203&gt;=0.2,C203&lt;=0.8),D203,"")</f>
        <v/>
      </c>
      <c r="F203" s="5">
        <f>IF(ISNUMBER(E203),A203,"")</f>
        <v/>
      </c>
      <c r="G203" s="5">
        <f>IF(AND(ISNUMBER(E203),ISNUMBER($K$4)),E203-($K$7+$K$4*A203),"")</f>
        <v/>
      </c>
    </row>
    <row r="204">
      <c r="A204" s="4" t="n"/>
      <c r="B204" s="4" t="n"/>
      <c r="C204" s="5">
        <f>IF(AND(ISNUMBER(A204),ISNUMBER(B204),ISNUMBER($K$2),ISNUMBER($K$3),$K$3&gt;$K$2),(B204-$K$2)/($K$3-$K$2),"")</f>
        <v/>
      </c>
      <c r="D204" s="5">
        <f>IF(ISNUMBER(C204),IF(B204&lt;$K$3,LN(($K$3-$K$2)/($K$3-B204)),""),"")</f>
        <v/>
      </c>
      <c r="E204" s="5">
        <f>IF(AND(ISNUMBER(C204),ISNUMBER(D204),C204&gt;=0.2,C204&lt;=0.8),D204,"")</f>
        <v/>
      </c>
      <c r="F204" s="5">
        <f>IF(ISNUMBER(E204),A204,"")</f>
        <v/>
      </c>
      <c r="G204" s="5">
        <f>IF(AND(ISNUMBER(E204),ISNUMBER($K$4)),E204-($K$7+$K$4*A204),"")</f>
        <v/>
      </c>
    </row>
    <row r="205">
      <c r="A205" s="4" t="n"/>
      <c r="B205" s="4" t="n"/>
      <c r="C205" s="5">
        <f>IF(AND(ISNUMBER(A205),ISNUMBER(B205),ISNUMBER($K$2),ISNUMBER($K$3),$K$3&gt;$K$2),(B205-$K$2)/($K$3-$K$2),"")</f>
        <v/>
      </c>
      <c r="D205" s="5">
        <f>IF(ISNUMBER(C205),IF(B205&lt;$K$3,LN(($K$3-$K$2)/($K$3-B205)),""),"")</f>
        <v/>
      </c>
      <c r="E205" s="5">
        <f>IF(AND(ISNUMBER(C205),ISNUMBER(D205),C205&gt;=0.2,C205&lt;=0.8),D205,"")</f>
        <v/>
      </c>
      <c r="F205" s="5">
        <f>IF(ISNUMBER(E205),A205,"")</f>
        <v/>
      </c>
      <c r="G205" s="5">
        <f>IF(AND(ISNUMBER(E205),ISNUMBER($K$4)),E205-($K$7+$K$4*A205),"")</f>
        <v/>
      </c>
    </row>
    <row r="206">
      <c r="A206" s="4" t="n"/>
      <c r="B206" s="4" t="n"/>
      <c r="C206" s="5">
        <f>IF(AND(ISNUMBER(A206),ISNUMBER(B206),ISNUMBER($K$2),ISNUMBER($K$3),$K$3&gt;$K$2),(B206-$K$2)/($K$3-$K$2),"")</f>
        <v/>
      </c>
      <c r="D206" s="5">
        <f>IF(ISNUMBER(C206),IF(B206&lt;$K$3,LN(($K$3-$K$2)/($K$3-B206)),""),"")</f>
        <v/>
      </c>
      <c r="E206" s="5">
        <f>IF(AND(ISNUMBER(C206),ISNUMBER(D206),C206&gt;=0.2,C206&lt;=0.8),D206,"")</f>
        <v/>
      </c>
      <c r="F206" s="5">
        <f>IF(ISNUMBER(E206),A206,"")</f>
        <v/>
      </c>
      <c r="G206" s="5">
        <f>IF(AND(ISNUMBER(E206),ISNUMBER($K$4)),E206-($K$7+$K$4*A206),"")</f>
        <v/>
      </c>
    </row>
    <row r="207">
      <c r="A207" s="4" t="n"/>
      <c r="B207" s="4" t="n"/>
      <c r="C207" s="5">
        <f>IF(AND(ISNUMBER(A207),ISNUMBER(B207),ISNUMBER($K$2),ISNUMBER($K$3),$K$3&gt;$K$2),(B207-$K$2)/($K$3-$K$2),"")</f>
        <v/>
      </c>
      <c r="D207" s="5">
        <f>IF(ISNUMBER(C207),IF(B207&lt;$K$3,LN(($K$3-$K$2)/($K$3-B207)),""),"")</f>
        <v/>
      </c>
      <c r="E207" s="5">
        <f>IF(AND(ISNUMBER(C207),ISNUMBER(D207),C207&gt;=0.2,C207&lt;=0.8),D207,"")</f>
        <v/>
      </c>
      <c r="F207" s="5">
        <f>IF(ISNUMBER(E207),A207,"")</f>
        <v/>
      </c>
      <c r="G207" s="5">
        <f>IF(AND(ISNUMBER(E207),ISNUMBER($K$4)),E207-($K$7+$K$4*A207),"")</f>
        <v/>
      </c>
    </row>
    <row r="208">
      <c r="A208" s="4" t="n"/>
      <c r="B208" s="4" t="n"/>
      <c r="C208" s="5">
        <f>IF(AND(ISNUMBER(A208),ISNUMBER(B208),ISNUMBER($K$2),ISNUMBER($K$3),$K$3&gt;$K$2),(B208-$K$2)/($K$3-$K$2),"")</f>
        <v/>
      </c>
      <c r="D208" s="5">
        <f>IF(ISNUMBER(C208),IF(B208&lt;$K$3,LN(($K$3-$K$2)/($K$3-B208)),""),"")</f>
        <v/>
      </c>
      <c r="E208" s="5">
        <f>IF(AND(ISNUMBER(C208),ISNUMBER(D208),C208&gt;=0.2,C208&lt;=0.8),D208,"")</f>
        <v/>
      </c>
      <c r="F208" s="5">
        <f>IF(ISNUMBER(E208),A208,"")</f>
        <v/>
      </c>
      <c r="G208" s="5">
        <f>IF(AND(ISNUMBER(E208),ISNUMBER($K$4)),E208-($K$7+$K$4*A208),"")</f>
        <v/>
      </c>
    </row>
    <row r="209">
      <c r="A209" s="4" t="n"/>
      <c r="B209" s="4" t="n"/>
      <c r="C209" s="5">
        <f>IF(AND(ISNUMBER(A209),ISNUMBER(B209),ISNUMBER($K$2),ISNUMBER($K$3),$K$3&gt;$K$2),(B209-$K$2)/($K$3-$K$2),"")</f>
        <v/>
      </c>
      <c r="D209" s="5">
        <f>IF(ISNUMBER(C209),IF(B209&lt;$K$3,LN(($K$3-$K$2)/($K$3-B209)),""),"")</f>
        <v/>
      </c>
      <c r="E209" s="5">
        <f>IF(AND(ISNUMBER(C209),ISNUMBER(D209),C209&gt;=0.2,C209&lt;=0.8),D209,"")</f>
        <v/>
      </c>
      <c r="F209" s="5">
        <f>IF(ISNUMBER(E209),A209,"")</f>
        <v/>
      </c>
      <c r="G209" s="5">
        <f>IF(AND(ISNUMBER(E209),ISNUMBER($K$4)),E209-($K$7+$K$4*A209),"")</f>
        <v/>
      </c>
    </row>
    <row r="210">
      <c r="A210" s="4" t="n"/>
      <c r="B210" s="4" t="n"/>
      <c r="C210" s="5">
        <f>IF(AND(ISNUMBER(A210),ISNUMBER(B210),ISNUMBER($K$2),ISNUMBER($K$3),$K$3&gt;$K$2),(B210-$K$2)/($K$3-$K$2),"")</f>
        <v/>
      </c>
      <c r="D210" s="5">
        <f>IF(ISNUMBER(C210),IF(B210&lt;$K$3,LN(($K$3-$K$2)/($K$3-B210)),""),"")</f>
        <v/>
      </c>
      <c r="E210" s="5">
        <f>IF(AND(ISNUMBER(C210),ISNUMBER(D210),C210&gt;=0.2,C210&lt;=0.8),D210,"")</f>
        <v/>
      </c>
      <c r="F210" s="5">
        <f>IF(ISNUMBER(E210),A210,"")</f>
        <v/>
      </c>
      <c r="G210" s="5">
        <f>IF(AND(ISNUMBER(E210),ISNUMBER($K$4)),E210-($K$7+$K$4*A210),"")</f>
        <v/>
      </c>
    </row>
    <row r="211">
      <c r="A211" s="4" t="n"/>
      <c r="B211" s="4" t="n"/>
      <c r="C211" s="5">
        <f>IF(AND(ISNUMBER(A211),ISNUMBER(B211),ISNUMBER($K$2),ISNUMBER($K$3),$K$3&gt;$K$2),(B211-$K$2)/($K$3-$K$2),"")</f>
        <v/>
      </c>
      <c r="D211" s="5">
        <f>IF(ISNUMBER(C211),IF(B211&lt;$K$3,LN(($K$3-$K$2)/($K$3-B211)),""),"")</f>
        <v/>
      </c>
      <c r="E211" s="5">
        <f>IF(AND(ISNUMBER(C211),ISNUMBER(D211),C211&gt;=0.2,C211&lt;=0.8),D211,"")</f>
        <v/>
      </c>
      <c r="F211" s="5">
        <f>IF(ISNUMBER(E211),A211,"")</f>
        <v/>
      </c>
      <c r="G211" s="5">
        <f>IF(AND(ISNUMBER(E211),ISNUMBER($K$4)),E211-($K$7+$K$4*A211),"")</f>
        <v/>
      </c>
    </row>
    <row r="212">
      <c r="A212" s="4" t="n"/>
      <c r="B212" s="4" t="n"/>
      <c r="C212" s="5">
        <f>IF(AND(ISNUMBER(A212),ISNUMBER(B212),ISNUMBER($K$2),ISNUMBER($K$3),$K$3&gt;$K$2),(B212-$K$2)/($K$3-$K$2),"")</f>
        <v/>
      </c>
      <c r="D212" s="5">
        <f>IF(ISNUMBER(C212),IF(B212&lt;$K$3,LN(($K$3-$K$2)/($K$3-B212)),""),"")</f>
        <v/>
      </c>
      <c r="E212" s="5">
        <f>IF(AND(ISNUMBER(C212),ISNUMBER(D212),C212&gt;=0.2,C212&lt;=0.8),D212,"")</f>
        <v/>
      </c>
      <c r="F212" s="5">
        <f>IF(ISNUMBER(E212),A212,"")</f>
        <v/>
      </c>
      <c r="G212" s="5">
        <f>IF(AND(ISNUMBER(E212),ISNUMBER($K$4)),E212-($K$7+$K$4*A212),"")</f>
        <v/>
      </c>
    </row>
    <row r="213">
      <c r="A213" s="4" t="n"/>
      <c r="B213" s="4" t="n"/>
      <c r="C213" s="5">
        <f>IF(AND(ISNUMBER(A213),ISNUMBER(B213),ISNUMBER($K$2),ISNUMBER($K$3),$K$3&gt;$K$2),(B213-$K$2)/($K$3-$K$2),"")</f>
        <v/>
      </c>
      <c r="D213" s="5">
        <f>IF(ISNUMBER(C213),IF(B213&lt;$K$3,LN(($K$3-$K$2)/($K$3-B213)),""),"")</f>
        <v/>
      </c>
      <c r="E213" s="5">
        <f>IF(AND(ISNUMBER(C213),ISNUMBER(D213),C213&gt;=0.2,C213&lt;=0.8),D213,"")</f>
        <v/>
      </c>
      <c r="F213" s="5">
        <f>IF(ISNUMBER(E213),A213,"")</f>
        <v/>
      </c>
      <c r="G213" s="5">
        <f>IF(AND(ISNUMBER(E213),ISNUMBER($K$4)),E213-($K$7+$K$4*A213),"")</f>
        <v/>
      </c>
    </row>
    <row r="214">
      <c r="A214" s="4" t="n"/>
      <c r="B214" s="4" t="n"/>
      <c r="C214" s="5">
        <f>IF(AND(ISNUMBER(A214),ISNUMBER(B214),ISNUMBER($K$2),ISNUMBER($K$3),$K$3&gt;$K$2),(B214-$K$2)/($K$3-$K$2),"")</f>
        <v/>
      </c>
      <c r="D214" s="5">
        <f>IF(ISNUMBER(C214),IF(B214&lt;$K$3,LN(($K$3-$K$2)/($K$3-B214)),""),"")</f>
        <v/>
      </c>
      <c r="E214" s="5">
        <f>IF(AND(ISNUMBER(C214),ISNUMBER(D214),C214&gt;=0.2,C214&lt;=0.8),D214,"")</f>
        <v/>
      </c>
      <c r="F214" s="5">
        <f>IF(ISNUMBER(E214),A214,"")</f>
        <v/>
      </c>
      <c r="G214" s="5">
        <f>IF(AND(ISNUMBER(E214),ISNUMBER($K$4)),E214-($K$7+$K$4*A214),"")</f>
        <v/>
      </c>
    </row>
    <row r="215">
      <c r="A215" s="4" t="n"/>
      <c r="B215" s="4" t="n"/>
      <c r="C215" s="5">
        <f>IF(AND(ISNUMBER(A215),ISNUMBER(B215),ISNUMBER($K$2),ISNUMBER($K$3),$K$3&gt;$K$2),(B215-$K$2)/($K$3-$K$2),"")</f>
        <v/>
      </c>
      <c r="D215" s="5">
        <f>IF(ISNUMBER(C215),IF(B215&lt;$K$3,LN(($K$3-$K$2)/($K$3-B215)),""),"")</f>
        <v/>
      </c>
      <c r="E215" s="5">
        <f>IF(AND(ISNUMBER(C215),ISNUMBER(D215),C215&gt;=0.2,C215&lt;=0.8),D215,"")</f>
        <v/>
      </c>
      <c r="F215" s="5">
        <f>IF(ISNUMBER(E215),A215,"")</f>
        <v/>
      </c>
      <c r="G215" s="5">
        <f>IF(AND(ISNUMBER(E215),ISNUMBER($K$4)),E215-($K$7+$K$4*A215),"")</f>
        <v/>
      </c>
    </row>
    <row r="216">
      <c r="A216" s="4" t="n"/>
      <c r="B216" s="4" t="n"/>
      <c r="C216" s="5">
        <f>IF(AND(ISNUMBER(A216),ISNUMBER(B216),ISNUMBER($K$2),ISNUMBER($K$3),$K$3&gt;$K$2),(B216-$K$2)/($K$3-$K$2),"")</f>
        <v/>
      </c>
      <c r="D216" s="5">
        <f>IF(ISNUMBER(C216),IF(B216&lt;$K$3,LN(($K$3-$K$2)/($K$3-B216)),""),"")</f>
        <v/>
      </c>
      <c r="E216" s="5">
        <f>IF(AND(ISNUMBER(C216),ISNUMBER(D216),C216&gt;=0.2,C216&lt;=0.8),D216,"")</f>
        <v/>
      </c>
      <c r="F216" s="5">
        <f>IF(ISNUMBER(E216),A216,"")</f>
        <v/>
      </c>
      <c r="G216" s="5">
        <f>IF(AND(ISNUMBER(E216),ISNUMBER($K$4)),E216-($K$7+$K$4*A216),"")</f>
        <v/>
      </c>
    </row>
    <row r="217">
      <c r="A217" s="4" t="n"/>
      <c r="B217" s="4" t="n"/>
      <c r="C217" s="5">
        <f>IF(AND(ISNUMBER(A217),ISNUMBER(B217),ISNUMBER($K$2),ISNUMBER($K$3),$K$3&gt;$K$2),(B217-$K$2)/($K$3-$K$2),"")</f>
        <v/>
      </c>
      <c r="D217" s="5">
        <f>IF(ISNUMBER(C217),IF(B217&lt;$K$3,LN(($K$3-$K$2)/($K$3-B217)),""),"")</f>
        <v/>
      </c>
      <c r="E217" s="5">
        <f>IF(AND(ISNUMBER(C217),ISNUMBER(D217),C217&gt;=0.2,C217&lt;=0.8),D217,"")</f>
        <v/>
      </c>
      <c r="F217" s="5">
        <f>IF(ISNUMBER(E217),A217,"")</f>
        <v/>
      </c>
      <c r="G217" s="5">
        <f>IF(AND(ISNUMBER(E217),ISNUMBER($K$4)),E217-($K$7+$K$4*A217),"")</f>
        <v/>
      </c>
    </row>
    <row r="218">
      <c r="A218" s="4" t="n"/>
      <c r="B218" s="4" t="n"/>
      <c r="C218" s="5">
        <f>IF(AND(ISNUMBER(A218),ISNUMBER(B218),ISNUMBER($K$2),ISNUMBER($K$3),$K$3&gt;$K$2),(B218-$K$2)/($K$3-$K$2),"")</f>
        <v/>
      </c>
      <c r="D218" s="5">
        <f>IF(ISNUMBER(C218),IF(B218&lt;$K$3,LN(($K$3-$K$2)/($K$3-B218)),""),"")</f>
        <v/>
      </c>
      <c r="E218" s="5">
        <f>IF(AND(ISNUMBER(C218),ISNUMBER(D218),C218&gt;=0.2,C218&lt;=0.8),D218,"")</f>
        <v/>
      </c>
      <c r="F218" s="5">
        <f>IF(ISNUMBER(E218),A218,"")</f>
        <v/>
      </c>
      <c r="G218" s="5">
        <f>IF(AND(ISNUMBER(E218),ISNUMBER($K$4)),E218-($K$7+$K$4*A218),"")</f>
        <v/>
      </c>
    </row>
    <row r="219">
      <c r="A219" s="4" t="n"/>
      <c r="B219" s="4" t="n"/>
      <c r="C219" s="5">
        <f>IF(AND(ISNUMBER(A219),ISNUMBER(B219),ISNUMBER($K$2),ISNUMBER($K$3),$K$3&gt;$K$2),(B219-$K$2)/($K$3-$K$2),"")</f>
        <v/>
      </c>
      <c r="D219" s="5">
        <f>IF(ISNUMBER(C219),IF(B219&lt;$K$3,LN(($K$3-$K$2)/($K$3-B219)),""),"")</f>
        <v/>
      </c>
      <c r="E219" s="5">
        <f>IF(AND(ISNUMBER(C219),ISNUMBER(D219),C219&gt;=0.2,C219&lt;=0.8),D219,"")</f>
        <v/>
      </c>
      <c r="F219" s="5">
        <f>IF(ISNUMBER(E219),A219,"")</f>
        <v/>
      </c>
      <c r="G219" s="5">
        <f>IF(AND(ISNUMBER(E219),ISNUMBER($K$4)),E219-($K$7+$K$4*A219),"")</f>
        <v/>
      </c>
    </row>
    <row r="220">
      <c r="A220" s="4" t="n"/>
      <c r="B220" s="4" t="n"/>
      <c r="C220" s="5">
        <f>IF(AND(ISNUMBER(A220),ISNUMBER(B220),ISNUMBER($K$2),ISNUMBER($K$3),$K$3&gt;$K$2),(B220-$K$2)/($K$3-$K$2),"")</f>
        <v/>
      </c>
      <c r="D220" s="5">
        <f>IF(ISNUMBER(C220),IF(B220&lt;$K$3,LN(($K$3-$K$2)/($K$3-B220)),""),"")</f>
        <v/>
      </c>
      <c r="E220" s="5">
        <f>IF(AND(ISNUMBER(C220),ISNUMBER(D220),C220&gt;=0.2,C220&lt;=0.8),D220,"")</f>
        <v/>
      </c>
      <c r="F220" s="5">
        <f>IF(ISNUMBER(E220),A220,"")</f>
        <v/>
      </c>
      <c r="G220" s="5">
        <f>IF(AND(ISNUMBER(E220),ISNUMBER($K$4)),E220-($K$7+$K$4*A220),"")</f>
        <v/>
      </c>
    </row>
    <row r="221">
      <c r="A221" s="4" t="n"/>
      <c r="B221" s="4" t="n"/>
      <c r="C221" s="5">
        <f>IF(AND(ISNUMBER(A221),ISNUMBER(B221),ISNUMBER($K$2),ISNUMBER($K$3),$K$3&gt;$K$2),(B221-$K$2)/($K$3-$K$2),"")</f>
        <v/>
      </c>
      <c r="D221" s="5">
        <f>IF(ISNUMBER(C221),IF(B221&lt;$K$3,LN(($K$3-$K$2)/($K$3-B221)),""),"")</f>
        <v/>
      </c>
      <c r="E221" s="5">
        <f>IF(AND(ISNUMBER(C221),ISNUMBER(D221),C221&gt;=0.2,C221&lt;=0.8),D221,"")</f>
        <v/>
      </c>
      <c r="F221" s="5">
        <f>IF(ISNUMBER(E221),A221,"")</f>
        <v/>
      </c>
      <c r="G221" s="5">
        <f>IF(AND(ISNUMBER(E221),ISNUMBER($K$4)),E221-($K$7+$K$4*A221),"")</f>
        <v/>
      </c>
    </row>
    <row r="222">
      <c r="A222" s="4" t="n"/>
      <c r="B222" s="4" t="n"/>
      <c r="C222" s="5">
        <f>IF(AND(ISNUMBER(A222),ISNUMBER(B222),ISNUMBER($K$2),ISNUMBER($K$3),$K$3&gt;$K$2),(B222-$K$2)/($K$3-$K$2),"")</f>
        <v/>
      </c>
      <c r="D222" s="5">
        <f>IF(ISNUMBER(C222),IF(B222&lt;$K$3,LN(($K$3-$K$2)/($K$3-B222)),""),"")</f>
        <v/>
      </c>
      <c r="E222" s="5">
        <f>IF(AND(ISNUMBER(C222),ISNUMBER(D222),C222&gt;=0.2,C222&lt;=0.8),D222,"")</f>
        <v/>
      </c>
      <c r="F222" s="5">
        <f>IF(ISNUMBER(E222),A222,"")</f>
        <v/>
      </c>
      <c r="G222" s="5">
        <f>IF(AND(ISNUMBER(E222),ISNUMBER($K$4)),E222-($K$7+$K$4*A222),"")</f>
        <v/>
      </c>
    </row>
    <row r="223">
      <c r="A223" s="4" t="n"/>
      <c r="B223" s="4" t="n"/>
      <c r="C223" s="5">
        <f>IF(AND(ISNUMBER(A223),ISNUMBER(B223),ISNUMBER($K$2),ISNUMBER($K$3),$K$3&gt;$K$2),(B223-$K$2)/($K$3-$K$2),"")</f>
        <v/>
      </c>
      <c r="D223" s="5">
        <f>IF(ISNUMBER(C223),IF(B223&lt;$K$3,LN(($K$3-$K$2)/($K$3-B223)),""),"")</f>
        <v/>
      </c>
      <c r="E223" s="5">
        <f>IF(AND(ISNUMBER(C223),ISNUMBER(D223),C223&gt;=0.2,C223&lt;=0.8),D223,"")</f>
        <v/>
      </c>
      <c r="F223" s="5">
        <f>IF(ISNUMBER(E223),A223,"")</f>
        <v/>
      </c>
      <c r="G223" s="5">
        <f>IF(AND(ISNUMBER(E223),ISNUMBER($K$4)),E223-($K$7+$K$4*A223),"")</f>
        <v/>
      </c>
    </row>
    <row r="224">
      <c r="A224" s="4" t="n"/>
      <c r="B224" s="4" t="n"/>
      <c r="C224" s="5">
        <f>IF(AND(ISNUMBER(A224),ISNUMBER(B224),ISNUMBER($K$2),ISNUMBER($K$3),$K$3&gt;$K$2),(B224-$K$2)/($K$3-$K$2),"")</f>
        <v/>
      </c>
      <c r="D224" s="5">
        <f>IF(ISNUMBER(C224),IF(B224&lt;$K$3,LN(($K$3-$K$2)/($K$3-B224)),""),"")</f>
        <v/>
      </c>
      <c r="E224" s="5">
        <f>IF(AND(ISNUMBER(C224),ISNUMBER(D224),C224&gt;=0.2,C224&lt;=0.8),D224,"")</f>
        <v/>
      </c>
      <c r="F224" s="5">
        <f>IF(ISNUMBER(E224),A224,"")</f>
        <v/>
      </c>
      <c r="G224" s="5">
        <f>IF(AND(ISNUMBER(E224),ISNUMBER($K$4)),E224-($K$7+$K$4*A224),"")</f>
        <v/>
      </c>
    </row>
    <row r="225">
      <c r="A225" s="4" t="n"/>
      <c r="B225" s="4" t="n"/>
      <c r="C225" s="5">
        <f>IF(AND(ISNUMBER(A225),ISNUMBER(B225),ISNUMBER($K$2),ISNUMBER($K$3),$K$3&gt;$K$2),(B225-$K$2)/($K$3-$K$2),"")</f>
        <v/>
      </c>
      <c r="D225" s="5">
        <f>IF(ISNUMBER(C225),IF(B225&lt;$K$3,LN(($K$3-$K$2)/($K$3-B225)),""),"")</f>
        <v/>
      </c>
      <c r="E225" s="5">
        <f>IF(AND(ISNUMBER(C225),ISNUMBER(D225),C225&gt;=0.2,C225&lt;=0.8),D225,"")</f>
        <v/>
      </c>
      <c r="F225" s="5">
        <f>IF(ISNUMBER(E225),A225,"")</f>
        <v/>
      </c>
      <c r="G225" s="5">
        <f>IF(AND(ISNUMBER(E225),ISNUMBER($K$4)),E225-($K$7+$K$4*A225),"")</f>
        <v/>
      </c>
    </row>
    <row r="226">
      <c r="A226" s="4" t="n"/>
      <c r="B226" s="4" t="n"/>
      <c r="C226" s="5">
        <f>IF(AND(ISNUMBER(A226),ISNUMBER(B226),ISNUMBER($K$2),ISNUMBER($K$3),$K$3&gt;$K$2),(B226-$K$2)/($K$3-$K$2),"")</f>
        <v/>
      </c>
      <c r="D226" s="5">
        <f>IF(ISNUMBER(C226),IF(B226&lt;$K$3,LN(($K$3-$K$2)/($K$3-B226)),""),"")</f>
        <v/>
      </c>
      <c r="E226" s="5">
        <f>IF(AND(ISNUMBER(C226),ISNUMBER(D226),C226&gt;=0.2,C226&lt;=0.8),D226,"")</f>
        <v/>
      </c>
      <c r="F226" s="5">
        <f>IF(ISNUMBER(E226),A226,"")</f>
        <v/>
      </c>
      <c r="G226" s="5">
        <f>IF(AND(ISNUMBER(E226),ISNUMBER($K$4)),E226-($K$7+$K$4*A226),"")</f>
        <v/>
      </c>
    </row>
    <row r="227">
      <c r="A227" s="4" t="n"/>
      <c r="B227" s="4" t="n"/>
      <c r="C227" s="5">
        <f>IF(AND(ISNUMBER(A227),ISNUMBER(B227),ISNUMBER($K$2),ISNUMBER($K$3),$K$3&gt;$K$2),(B227-$K$2)/($K$3-$K$2),"")</f>
        <v/>
      </c>
      <c r="D227" s="5">
        <f>IF(ISNUMBER(C227),IF(B227&lt;$K$3,LN(($K$3-$K$2)/($K$3-B227)),""),"")</f>
        <v/>
      </c>
      <c r="E227" s="5">
        <f>IF(AND(ISNUMBER(C227),ISNUMBER(D227),C227&gt;=0.2,C227&lt;=0.8),D227,"")</f>
        <v/>
      </c>
      <c r="F227" s="5">
        <f>IF(ISNUMBER(E227),A227,"")</f>
        <v/>
      </c>
      <c r="G227" s="5">
        <f>IF(AND(ISNUMBER(E227),ISNUMBER($K$4)),E227-($K$7+$K$4*A227),"")</f>
        <v/>
      </c>
    </row>
    <row r="228">
      <c r="A228" s="4" t="n"/>
      <c r="B228" s="4" t="n"/>
      <c r="C228" s="5">
        <f>IF(AND(ISNUMBER(A228),ISNUMBER(B228),ISNUMBER($K$2),ISNUMBER($K$3),$K$3&gt;$K$2),(B228-$K$2)/($K$3-$K$2),"")</f>
        <v/>
      </c>
      <c r="D228" s="5">
        <f>IF(ISNUMBER(C228),IF(B228&lt;$K$3,LN(($K$3-$K$2)/($K$3-B228)),""),"")</f>
        <v/>
      </c>
      <c r="E228" s="5">
        <f>IF(AND(ISNUMBER(C228),ISNUMBER(D228),C228&gt;=0.2,C228&lt;=0.8),D228,"")</f>
        <v/>
      </c>
      <c r="F228" s="5">
        <f>IF(ISNUMBER(E228),A228,"")</f>
        <v/>
      </c>
      <c r="G228" s="5">
        <f>IF(AND(ISNUMBER(E228),ISNUMBER($K$4)),E228-($K$7+$K$4*A228),"")</f>
        <v/>
      </c>
    </row>
    <row r="229">
      <c r="A229" s="4" t="n"/>
      <c r="B229" s="4" t="n"/>
      <c r="C229" s="5">
        <f>IF(AND(ISNUMBER(A229),ISNUMBER(B229),ISNUMBER($K$2),ISNUMBER($K$3),$K$3&gt;$K$2),(B229-$K$2)/($K$3-$K$2),"")</f>
        <v/>
      </c>
      <c r="D229" s="5">
        <f>IF(ISNUMBER(C229),IF(B229&lt;$K$3,LN(($K$3-$K$2)/($K$3-B229)),""),"")</f>
        <v/>
      </c>
      <c r="E229" s="5">
        <f>IF(AND(ISNUMBER(C229),ISNUMBER(D229),C229&gt;=0.2,C229&lt;=0.8),D229,"")</f>
        <v/>
      </c>
      <c r="F229" s="5">
        <f>IF(ISNUMBER(E229),A229,"")</f>
        <v/>
      </c>
      <c r="G229" s="5">
        <f>IF(AND(ISNUMBER(E229),ISNUMBER($K$4)),E229-($K$7+$K$4*A229),"")</f>
        <v/>
      </c>
    </row>
    <row r="230">
      <c r="A230" s="4" t="n"/>
      <c r="B230" s="4" t="n"/>
      <c r="C230" s="5">
        <f>IF(AND(ISNUMBER(A230),ISNUMBER(B230),ISNUMBER($K$2),ISNUMBER($K$3),$K$3&gt;$K$2),(B230-$K$2)/($K$3-$K$2),"")</f>
        <v/>
      </c>
      <c r="D230" s="5">
        <f>IF(ISNUMBER(C230),IF(B230&lt;$K$3,LN(($K$3-$K$2)/($K$3-B230)),""),"")</f>
        <v/>
      </c>
      <c r="E230" s="5">
        <f>IF(AND(ISNUMBER(C230),ISNUMBER(D230),C230&gt;=0.2,C230&lt;=0.8),D230,"")</f>
        <v/>
      </c>
      <c r="F230" s="5">
        <f>IF(ISNUMBER(E230),A230,"")</f>
        <v/>
      </c>
      <c r="G230" s="5">
        <f>IF(AND(ISNUMBER(E230),ISNUMBER($K$4)),E230-($K$7+$K$4*A230),"")</f>
        <v/>
      </c>
    </row>
    <row r="231">
      <c r="A231" s="4" t="n"/>
      <c r="B231" s="4" t="n"/>
      <c r="C231" s="5">
        <f>IF(AND(ISNUMBER(A231),ISNUMBER(B231),ISNUMBER($K$2),ISNUMBER($K$3),$K$3&gt;$K$2),(B231-$K$2)/($K$3-$K$2),"")</f>
        <v/>
      </c>
      <c r="D231" s="5">
        <f>IF(ISNUMBER(C231),IF(B231&lt;$K$3,LN(($K$3-$K$2)/($K$3-B231)),""),"")</f>
        <v/>
      </c>
      <c r="E231" s="5">
        <f>IF(AND(ISNUMBER(C231),ISNUMBER(D231),C231&gt;=0.2,C231&lt;=0.8),D231,"")</f>
        <v/>
      </c>
      <c r="F231" s="5">
        <f>IF(ISNUMBER(E231),A231,"")</f>
        <v/>
      </c>
      <c r="G231" s="5">
        <f>IF(AND(ISNUMBER(E231),ISNUMBER($K$4)),E231-($K$7+$K$4*A231),"")</f>
        <v/>
      </c>
    </row>
    <row r="232">
      <c r="A232" s="4" t="n"/>
      <c r="B232" s="4" t="n"/>
      <c r="C232" s="5">
        <f>IF(AND(ISNUMBER(A232),ISNUMBER(B232),ISNUMBER($K$2),ISNUMBER($K$3),$K$3&gt;$K$2),(B232-$K$2)/($K$3-$K$2),"")</f>
        <v/>
      </c>
      <c r="D232" s="5">
        <f>IF(ISNUMBER(C232),IF(B232&lt;$K$3,LN(($K$3-$K$2)/($K$3-B232)),""),"")</f>
        <v/>
      </c>
      <c r="E232" s="5">
        <f>IF(AND(ISNUMBER(C232),ISNUMBER(D232),C232&gt;=0.2,C232&lt;=0.8),D232,"")</f>
        <v/>
      </c>
      <c r="F232" s="5">
        <f>IF(ISNUMBER(E232),A232,"")</f>
        <v/>
      </c>
      <c r="G232" s="5">
        <f>IF(AND(ISNUMBER(E232),ISNUMBER($K$4)),E232-($K$7+$K$4*A232),"")</f>
        <v/>
      </c>
    </row>
    <row r="233">
      <c r="A233" s="4" t="n"/>
      <c r="B233" s="4" t="n"/>
      <c r="C233" s="5">
        <f>IF(AND(ISNUMBER(A233),ISNUMBER(B233),ISNUMBER($K$2),ISNUMBER($K$3),$K$3&gt;$K$2),(B233-$K$2)/($K$3-$K$2),"")</f>
        <v/>
      </c>
      <c r="D233" s="5">
        <f>IF(ISNUMBER(C233),IF(B233&lt;$K$3,LN(($K$3-$K$2)/($K$3-B233)),""),"")</f>
        <v/>
      </c>
      <c r="E233" s="5">
        <f>IF(AND(ISNUMBER(C233),ISNUMBER(D233),C233&gt;=0.2,C233&lt;=0.8),D233,"")</f>
        <v/>
      </c>
      <c r="F233" s="5">
        <f>IF(ISNUMBER(E233),A233,"")</f>
        <v/>
      </c>
      <c r="G233" s="5">
        <f>IF(AND(ISNUMBER(E233),ISNUMBER($K$4)),E233-($K$7+$K$4*A233),"")</f>
        <v/>
      </c>
    </row>
    <row r="234">
      <c r="A234" s="4" t="n"/>
      <c r="B234" s="4" t="n"/>
      <c r="C234" s="5">
        <f>IF(AND(ISNUMBER(A234),ISNUMBER(B234),ISNUMBER($K$2),ISNUMBER($K$3),$K$3&gt;$K$2),(B234-$K$2)/($K$3-$K$2),"")</f>
        <v/>
      </c>
      <c r="D234" s="5">
        <f>IF(ISNUMBER(C234),IF(B234&lt;$K$3,LN(($K$3-$K$2)/($K$3-B234)),""),"")</f>
        <v/>
      </c>
      <c r="E234" s="5">
        <f>IF(AND(ISNUMBER(C234),ISNUMBER(D234),C234&gt;=0.2,C234&lt;=0.8),D234,"")</f>
        <v/>
      </c>
      <c r="F234" s="5">
        <f>IF(ISNUMBER(E234),A234,"")</f>
        <v/>
      </c>
      <c r="G234" s="5">
        <f>IF(AND(ISNUMBER(E234),ISNUMBER($K$4)),E234-($K$7+$K$4*A234),"")</f>
        <v/>
      </c>
    </row>
    <row r="235">
      <c r="A235" s="4" t="n"/>
      <c r="B235" s="4" t="n"/>
      <c r="C235" s="5">
        <f>IF(AND(ISNUMBER(A235),ISNUMBER(B235),ISNUMBER($K$2),ISNUMBER($K$3),$K$3&gt;$K$2),(B235-$K$2)/($K$3-$K$2),"")</f>
        <v/>
      </c>
      <c r="D235" s="5">
        <f>IF(ISNUMBER(C235),IF(B235&lt;$K$3,LN(($K$3-$K$2)/($K$3-B235)),""),"")</f>
        <v/>
      </c>
      <c r="E235" s="5">
        <f>IF(AND(ISNUMBER(C235),ISNUMBER(D235),C235&gt;=0.2,C235&lt;=0.8),D235,"")</f>
        <v/>
      </c>
      <c r="F235" s="5">
        <f>IF(ISNUMBER(E235),A235,"")</f>
        <v/>
      </c>
      <c r="G235" s="5">
        <f>IF(AND(ISNUMBER(E235),ISNUMBER($K$4)),E235-($K$7+$K$4*A235),"")</f>
        <v/>
      </c>
    </row>
    <row r="236">
      <c r="A236" s="4" t="n"/>
      <c r="B236" s="4" t="n"/>
      <c r="C236" s="5">
        <f>IF(AND(ISNUMBER(A236),ISNUMBER(B236),ISNUMBER($K$2),ISNUMBER($K$3),$K$3&gt;$K$2),(B236-$K$2)/($K$3-$K$2),"")</f>
        <v/>
      </c>
      <c r="D236" s="5">
        <f>IF(ISNUMBER(C236),IF(B236&lt;$K$3,LN(($K$3-$K$2)/($K$3-B236)),""),"")</f>
        <v/>
      </c>
      <c r="E236" s="5">
        <f>IF(AND(ISNUMBER(C236),ISNUMBER(D236),C236&gt;=0.2,C236&lt;=0.8),D236,"")</f>
        <v/>
      </c>
      <c r="F236" s="5">
        <f>IF(ISNUMBER(E236),A236,"")</f>
        <v/>
      </c>
      <c r="G236" s="5">
        <f>IF(AND(ISNUMBER(E236),ISNUMBER($K$4)),E236-($K$7+$K$4*A236),"")</f>
        <v/>
      </c>
    </row>
    <row r="237">
      <c r="A237" s="4" t="n"/>
      <c r="B237" s="4" t="n"/>
      <c r="C237" s="5">
        <f>IF(AND(ISNUMBER(A237),ISNUMBER(B237),ISNUMBER($K$2),ISNUMBER($K$3),$K$3&gt;$K$2),(B237-$K$2)/($K$3-$K$2),"")</f>
        <v/>
      </c>
      <c r="D237" s="5">
        <f>IF(ISNUMBER(C237),IF(B237&lt;$K$3,LN(($K$3-$K$2)/($K$3-B237)),""),"")</f>
        <v/>
      </c>
      <c r="E237" s="5">
        <f>IF(AND(ISNUMBER(C237),ISNUMBER(D237),C237&gt;=0.2,C237&lt;=0.8),D237,"")</f>
        <v/>
      </c>
      <c r="F237" s="5">
        <f>IF(ISNUMBER(E237),A237,"")</f>
        <v/>
      </c>
      <c r="G237" s="5">
        <f>IF(AND(ISNUMBER(E237),ISNUMBER($K$4)),E237-($K$7+$K$4*A237),"")</f>
        <v/>
      </c>
    </row>
    <row r="238">
      <c r="A238" s="4" t="n"/>
      <c r="B238" s="4" t="n"/>
      <c r="C238" s="5">
        <f>IF(AND(ISNUMBER(A238),ISNUMBER(B238),ISNUMBER($K$2),ISNUMBER($K$3),$K$3&gt;$K$2),(B238-$K$2)/($K$3-$K$2),"")</f>
        <v/>
      </c>
      <c r="D238" s="5">
        <f>IF(ISNUMBER(C238),IF(B238&lt;$K$3,LN(($K$3-$K$2)/($K$3-B238)),""),"")</f>
        <v/>
      </c>
      <c r="E238" s="5">
        <f>IF(AND(ISNUMBER(C238),ISNUMBER(D238),C238&gt;=0.2,C238&lt;=0.8),D238,"")</f>
        <v/>
      </c>
      <c r="F238" s="5">
        <f>IF(ISNUMBER(E238),A238,"")</f>
        <v/>
      </c>
      <c r="G238" s="5">
        <f>IF(AND(ISNUMBER(E238),ISNUMBER($K$4)),E238-($K$7+$K$4*A238),"")</f>
        <v/>
      </c>
    </row>
    <row r="239">
      <c r="A239" s="4" t="n"/>
      <c r="B239" s="4" t="n"/>
      <c r="C239" s="5">
        <f>IF(AND(ISNUMBER(A239),ISNUMBER(B239),ISNUMBER($K$2),ISNUMBER($K$3),$K$3&gt;$K$2),(B239-$K$2)/($K$3-$K$2),"")</f>
        <v/>
      </c>
      <c r="D239" s="5">
        <f>IF(ISNUMBER(C239),IF(B239&lt;$K$3,LN(($K$3-$K$2)/($K$3-B239)),""),"")</f>
        <v/>
      </c>
      <c r="E239" s="5">
        <f>IF(AND(ISNUMBER(C239),ISNUMBER(D239),C239&gt;=0.2,C239&lt;=0.8),D239,"")</f>
        <v/>
      </c>
      <c r="F239" s="5">
        <f>IF(ISNUMBER(E239),A239,"")</f>
        <v/>
      </c>
      <c r="G239" s="5">
        <f>IF(AND(ISNUMBER(E239),ISNUMBER($K$4)),E239-($K$7+$K$4*A239),"")</f>
        <v/>
      </c>
    </row>
    <row r="240">
      <c r="A240" s="4" t="n"/>
      <c r="B240" s="4" t="n"/>
      <c r="C240" s="5">
        <f>IF(AND(ISNUMBER(A240),ISNUMBER(B240),ISNUMBER($K$2),ISNUMBER($K$3),$K$3&gt;$K$2),(B240-$K$2)/($K$3-$K$2),"")</f>
        <v/>
      </c>
      <c r="D240" s="5">
        <f>IF(ISNUMBER(C240),IF(B240&lt;$K$3,LN(($K$3-$K$2)/($K$3-B240)),""),"")</f>
        <v/>
      </c>
      <c r="E240" s="5">
        <f>IF(AND(ISNUMBER(C240),ISNUMBER(D240),C240&gt;=0.2,C240&lt;=0.8),D240,"")</f>
        <v/>
      </c>
      <c r="F240" s="5">
        <f>IF(ISNUMBER(E240),A240,"")</f>
        <v/>
      </c>
      <c r="G240" s="5">
        <f>IF(AND(ISNUMBER(E240),ISNUMBER($K$4)),E240-($K$7+$K$4*A240),"")</f>
        <v/>
      </c>
    </row>
    <row r="241">
      <c r="A241" s="4" t="n"/>
      <c r="B241" s="4" t="n"/>
      <c r="C241" s="5">
        <f>IF(AND(ISNUMBER(A241),ISNUMBER(B241),ISNUMBER($K$2),ISNUMBER($K$3),$K$3&gt;$K$2),(B241-$K$2)/($K$3-$K$2),"")</f>
        <v/>
      </c>
      <c r="D241" s="5">
        <f>IF(ISNUMBER(C241),IF(B241&lt;$K$3,LN(($K$3-$K$2)/($K$3-B241)),""),"")</f>
        <v/>
      </c>
      <c r="E241" s="5">
        <f>IF(AND(ISNUMBER(C241),ISNUMBER(D241),C241&gt;=0.2,C241&lt;=0.8),D241,"")</f>
        <v/>
      </c>
      <c r="F241" s="5">
        <f>IF(ISNUMBER(E241),A241,"")</f>
        <v/>
      </c>
      <c r="G241" s="5">
        <f>IF(AND(ISNUMBER(E241),ISNUMBER($K$4)),E241-($K$7+$K$4*A241),"")</f>
        <v/>
      </c>
    </row>
    <row r="242">
      <c r="A242" s="4" t="n"/>
      <c r="B242" s="4" t="n"/>
      <c r="C242" s="5">
        <f>IF(AND(ISNUMBER(A242),ISNUMBER(B242),ISNUMBER($K$2),ISNUMBER($K$3),$K$3&gt;$K$2),(B242-$K$2)/($K$3-$K$2),"")</f>
        <v/>
      </c>
      <c r="D242" s="5">
        <f>IF(ISNUMBER(C242),IF(B242&lt;$K$3,LN(($K$3-$K$2)/($K$3-B242)),""),"")</f>
        <v/>
      </c>
      <c r="E242" s="5">
        <f>IF(AND(ISNUMBER(C242),ISNUMBER(D242),C242&gt;=0.2,C242&lt;=0.8),D242,"")</f>
        <v/>
      </c>
      <c r="F242" s="5">
        <f>IF(ISNUMBER(E242),A242,"")</f>
        <v/>
      </c>
      <c r="G242" s="5">
        <f>IF(AND(ISNUMBER(E242),ISNUMBER($K$4)),E242-($K$7+$K$4*A242),"")</f>
        <v/>
      </c>
    </row>
    <row r="243">
      <c r="A243" s="4" t="n"/>
      <c r="B243" s="4" t="n"/>
      <c r="C243" s="5">
        <f>IF(AND(ISNUMBER(A243),ISNUMBER(B243),ISNUMBER($K$2),ISNUMBER($K$3),$K$3&gt;$K$2),(B243-$K$2)/($K$3-$K$2),"")</f>
        <v/>
      </c>
      <c r="D243" s="5">
        <f>IF(ISNUMBER(C243),IF(B243&lt;$K$3,LN(($K$3-$K$2)/($K$3-B243)),""),"")</f>
        <v/>
      </c>
      <c r="E243" s="5">
        <f>IF(AND(ISNUMBER(C243),ISNUMBER(D243),C243&gt;=0.2,C243&lt;=0.8),D243,"")</f>
        <v/>
      </c>
      <c r="F243" s="5">
        <f>IF(ISNUMBER(E243),A243,"")</f>
        <v/>
      </c>
      <c r="G243" s="5">
        <f>IF(AND(ISNUMBER(E243),ISNUMBER($K$4)),E243-($K$7+$K$4*A243),"")</f>
        <v/>
      </c>
    </row>
    <row r="244">
      <c r="A244" s="4" t="n"/>
      <c r="B244" s="4" t="n"/>
      <c r="C244" s="5">
        <f>IF(AND(ISNUMBER(A244),ISNUMBER(B244),ISNUMBER($K$2),ISNUMBER($K$3),$K$3&gt;$K$2),(B244-$K$2)/($K$3-$K$2),"")</f>
        <v/>
      </c>
      <c r="D244" s="5">
        <f>IF(ISNUMBER(C244),IF(B244&lt;$K$3,LN(($K$3-$K$2)/($K$3-B244)),""),"")</f>
        <v/>
      </c>
      <c r="E244" s="5">
        <f>IF(AND(ISNUMBER(C244),ISNUMBER(D244),C244&gt;=0.2,C244&lt;=0.8),D244,"")</f>
        <v/>
      </c>
      <c r="F244" s="5">
        <f>IF(ISNUMBER(E244),A244,"")</f>
        <v/>
      </c>
      <c r="G244" s="5">
        <f>IF(AND(ISNUMBER(E244),ISNUMBER($K$4)),E244-($K$7+$K$4*A244),"")</f>
        <v/>
      </c>
    </row>
    <row r="245">
      <c r="A245" s="4" t="n"/>
      <c r="B245" s="4" t="n"/>
      <c r="C245" s="5">
        <f>IF(AND(ISNUMBER(A245),ISNUMBER(B245),ISNUMBER($K$2),ISNUMBER($K$3),$K$3&gt;$K$2),(B245-$K$2)/($K$3-$K$2),"")</f>
        <v/>
      </c>
      <c r="D245" s="5">
        <f>IF(ISNUMBER(C245),IF(B245&lt;$K$3,LN(($K$3-$K$2)/($K$3-B245)),""),"")</f>
        <v/>
      </c>
      <c r="E245" s="5">
        <f>IF(AND(ISNUMBER(C245),ISNUMBER(D245),C245&gt;=0.2,C245&lt;=0.8),D245,"")</f>
        <v/>
      </c>
      <c r="F245" s="5">
        <f>IF(ISNUMBER(E245),A245,"")</f>
        <v/>
      </c>
      <c r="G245" s="5">
        <f>IF(AND(ISNUMBER(E245),ISNUMBER($K$4)),E245-($K$7+$K$4*A245),"")</f>
        <v/>
      </c>
    </row>
    <row r="246">
      <c r="A246" s="4" t="n"/>
      <c r="B246" s="4" t="n"/>
      <c r="C246" s="5">
        <f>IF(AND(ISNUMBER(A246),ISNUMBER(B246),ISNUMBER($K$2),ISNUMBER($K$3),$K$3&gt;$K$2),(B246-$K$2)/($K$3-$K$2),"")</f>
        <v/>
      </c>
      <c r="D246" s="5">
        <f>IF(ISNUMBER(C246),IF(B246&lt;$K$3,LN(($K$3-$K$2)/($K$3-B246)),""),"")</f>
        <v/>
      </c>
      <c r="E246" s="5">
        <f>IF(AND(ISNUMBER(C246),ISNUMBER(D246),C246&gt;=0.2,C246&lt;=0.8),D246,"")</f>
        <v/>
      </c>
      <c r="F246" s="5">
        <f>IF(ISNUMBER(E246),A246,"")</f>
        <v/>
      </c>
      <c r="G246" s="5">
        <f>IF(AND(ISNUMBER(E246),ISNUMBER($K$4)),E246-($K$7+$K$4*A246),"")</f>
        <v/>
      </c>
    </row>
    <row r="247">
      <c r="A247" s="4" t="n"/>
      <c r="B247" s="4" t="n"/>
      <c r="C247" s="5">
        <f>IF(AND(ISNUMBER(A247),ISNUMBER(B247),ISNUMBER($K$2),ISNUMBER($K$3),$K$3&gt;$K$2),(B247-$K$2)/($K$3-$K$2),"")</f>
        <v/>
      </c>
      <c r="D247" s="5">
        <f>IF(ISNUMBER(C247),IF(B247&lt;$K$3,LN(($K$3-$K$2)/($K$3-B247)),""),"")</f>
        <v/>
      </c>
      <c r="E247" s="5">
        <f>IF(AND(ISNUMBER(C247),ISNUMBER(D247),C247&gt;=0.2,C247&lt;=0.8),D247,"")</f>
        <v/>
      </c>
      <c r="F247" s="5">
        <f>IF(ISNUMBER(E247),A247,"")</f>
        <v/>
      </c>
      <c r="G247" s="5">
        <f>IF(AND(ISNUMBER(E247),ISNUMBER($K$4)),E247-($K$7+$K$4*A247),"")</f>
        <v/>
      </c>
    </row>
    <row r="248">
      <c r="A248" s="4" t="n"/>
      <c r="B248" s="4" t="n"/>
      <c r="C248" s="5">
        <f>IF(AND(ISNUMBER(A248),ISNUMBER(B248),ISNUMBER($K$2),ISNUMBER($K$3),$K$3&gt;$K$2),(B248-$K$2)/($K$3-$K$2),"")</f>
        <v/>
      </c>
      <c r="D248" s="5">
        <f>IF(ISNUMBER(C248),IF(B248&lt;$K$3,LN(($K$3-$K$2)/($K$3-B248)),""),"")</f>
        <v/>
      </c>
      <c r="E248" s="5">
        <f>IF(AND(ISNUMBER(C248),ISNUMBER(D248),C248&gt;=0.2,C248&lt;=0.8),D248,"")</f>
        <v/>
      </c>
      <c r="F248" s="5">
        <f>IF(ISNUMBER(E248),A248,"")</f>
        <v/>
      </c>
      <c r="G248" s="5">
        <f>IF(AND(ISNUMBER(E248),ISNUMBER($K$4)),E248-($K$7+$K$4*A248),"")</f>
        <v/>
      </c>
    </row>
    <row r="249">
      <c r="A249" s="4" t="n"/>
      <c r="B249" s="4" t="n"/>
      <c r="C249" s="5">
        <f>IF(AND(ISNUMBER(A249),ISNUMBER(B249),ISNUMBER($K$2),ISNUMBER($K$3),$K$3&gt;$K$2),(B249-$K$2)/($K$3-$K$2),"")</f>
        <v/>
      </c>
      <c r="D249" s="5">
        <f>IF(ISNUMBER(C249),IF(B249&lt;$K$3,LN(($K$3-$K$2)/($K$3-B249)),""),"")</f>
        <v/>
      </c>
      <c r="E249" s="5">
        <f>IF(AND(ISNUMBER(C249),ISNUMBER(D249),C249&gt;=0.2,C249&lt;=0.8),D249,"")</f>
        <v/>
      </c>
      <c r="F249" s="5">
        <f>IF(ISNUMBER(E249),A249,"")</f>
        <v/>
      </c>
      <c r="G249" s="5">
        <f>IF(AND(ISNUMBER(E249),ISNUMBER($K$4)),E249-($K$7+$K$4*A249),"")</f>
        <v/>
      </c>
    </row>
    <row r="250">
      <c r="A250" s="4" t="n"/>
      <c r="B250" s="4" t="n"/>
      <c r="C250" s="5">
        <f>IF(AND(ISNUMBER(A250),ISNUMBER(B250),ISNUMBER($K$2),ISNUMBER($K$3),$K$3&gt;$K$2),(B250-$K$2)/($K$3-$K$2),"")</f>
        <v/>
      </c>
      <c r="D250" s="5">
        <f>IF(ISNUMBER(C250),IF(B250&lt;$K$3,LN(($K$3-$K$2)/($K$3-B250)),""),"")</f>
        <v/>
      </c>
      <c r="E250" s="5">
        <f>IF(AND(ISNUMBER(C250),ISNUMBER(D250),C250&gt;=0.2,C250&lt;=0.8),D250,"")</f>
        <v/>
      </c>
      <c r="F250" s="5">
        <f>IF(ISNUMBER(E250),A250,"")</f>
        <v/>
      </c>
      <c r="G250" s="5">
        <f>IF(AND(ISNUMBER(E250),ISNUMBER($K$4)),E250-($K$7+$K$4*A250),"")</f>
        <v/>
      </c>
    </row>
    <row r="251">
      <c r="A251" s="4" t="n"/>
      <c r="B251" s="4" t="n"/>
      <c r="C251" s="5">
        <f>IF(AND(ISNUMBER(A251),ISNUMBER(B251),ISNUMBER($K$2),ISNUMBER($K$3),$K$3&gt;$K$2),(B251-$K$2)/($K$3-$K$2),"")</f>
        <v/>
      </c>
      <c r="D251" s="5">
        <f>IF(ISNUMBER(C251),IF(B251&lt;$K$3,LN(($K$3-$K$2)/($K$3-B251)),""),"")</f>
        <v/>
      </c>
      <c r="E251" s="5">
        <f>IF(AND(ISNUMBER(C251),ISNUMBER(D251),C251&gt;=0.2,C251&lt;=0.8),D251,"")</f>
        <v/>
      </c>
      <c r="F251" s="5">
        <f>IF(ISNUMBER(E251),A251,"")</f>
        <v/>
      </c>
      <c r="G251" s="5">
        <f>IF(AND(ISNUMBER(E251),ISNUMBER($K$4)),E251-($K$7+$K$4*A251),"")</f>
        <v/>
      </c>
    </row>
    <row r="252">
      <c r="A252" s="4" t="n"/>
      <c r="B252" s="4" t="n"/>
      <c r="C252" s="5">
        <f>IF(AND(ISNUMBER(A252),ISNUMBER(B252),ISNUMBER($K$2),ISNUMBER($K$3),$K$3&gt;$K$2),(B252-$K$2)/($K$3-$K$2),"")</f>
        <v/>
      </c>
      <c r="D252" s="5">
        <f>IF(ISNUMBER(C252),IF(B252&lt;$K$3,LN(($K$3-$K$2)/($K$3-B252)),""),"")</f>
        <v/>
      </c>
      <c r="E252" s="5">
        <f>IF(AND(ISNUMBER(C252),ISNUMBER(D252),C252&gt;=0.2,C252&lt;=0.8),D252,"")</f>
        <v/>
      </c>
      <c r="F252" s="5">
        <f>IF(ISNUMBER(E252),A252,"")</f>
        <v/>
      </c>
      <c r="G252" s="5">
        <f>IF(AND(ISNUMBER(E252),ISNUMBER($K$4)),E252-($K$7+$K$4*A252),"")</f>
        <v/>
      </c>
    </row>
    <row r="253">
      <c r="A253" s="4" t="n"/>
      <c r="B253" s="4" t="n"/>
      <c r="C253" s="5">
        <f>IF(AND(ISNUMBER(A253),ISNUMBER(B253),ISNUMBER($K$2),ISNUMBER($K$3),$K$3&gt;$K$2),(B253-$K$2)/($K$3-$K$2),"")</f>
        <v/>
      </c>
      <c r="D253" s="5">
        <f>IF(ISNUMBER(C253),IF(B253&lt;$K$3,LN(($K$3-$K$2)/($K$3-B253)),""),"")</f>
        <v/>
      </c>
      <c r="E253" s="5">
        <f>IF(AND(ISNUMBER(C253),ISNUMBER(D253),C253&gt;=0.2,C253&lt;=0.8),D253,"")</f>
        <v/>
      </c>
      <c r="F253" s="5">
        <f>IF(ISNUMBER(E253),A253,"")</f>
        <v/>
      </c>
      <c r="G253" s="5">
        <f>IF(AND(ISNUMBER(E253),ISNUMBER($K$4)),E253-($K$7+$K$4*A253),"")</f>
        <v/>
      </c>
    </row>
    <row r="254">
      <c r="A254" s="4" t="n"/>
      <c r="B254" s="4" t="n"/>
      <c r="C254" s="5">
        <f>IF(AND(ISNUMBER(A254),ISNUMBER(B254),ISNUMBER($K$2),ISNUMBER($K$3),$K$3&gt;$K$2),(B254-$K$2)/($K$3-$K$2),"")</f>
        <v/>
      </c>
      <c r="D254" s="5">
        <f>IF(ISNUMBER(C254),IF(B254&lt;$K$3,LN(($K$3-$K$2)/($K$3-B254)),""),"")</f>
        <v/>
      </c>
      <c r="E254" s="5">
        <f>IF(AND(ISNUMBER(C254),ISNUMBER(D254),C254&gt;=0.2,C254&lt;=0.8),D254,"")</f>
        <v/>
      </c>
      <c r="F254" s="5">
        <f>IF(ISNUMBER(E254),A254,"")</f>
        <v/>
      </c>
      <c r="G254" s="5">
        <f>IF(AND(ISNUMBER(E254),ISNUMBER($K$4)),E254-($K$7+$K$4*A254),"")</f>
        <v/>
      </c>
    </row>
    <row r="255">
      <c r="A255" s="4" t="n"/>
      <c r="B255" s="4" t="n"/>
      <c r="C255" s="5">
        <f>IF(AND(ISNUMBER(A255),ISNUMBER(B255),ISNUMBER($K$2),ISNUMBER($K$3),$K$3&gt;$K$2),(B255-$K$2)/($K$3-$K$2),"")</f>
        <v/>
      </c>
      <c r="D255" s="5">
        <f>IF(ISNUMBER(C255),IF(B255&lt;$K$3,LN(($K$3-$K$2)/($K$3-B255)),""),"")</f>
        <v/>
      </c>
      <c r="E255" s="5">
        <f>IF(AND(ISNUMBER(C255),ISNUMBER(D255),C255&gt;=0.2,C255&lt;=0.8),D255,"")</f>
        <v/>
      </c>
      <c r="F255" s="5">
        <f>IF(ISNUMBER(E255),A255,"")</f>
        <v/>
      </c>
      <c r="G255" s="5">
        <f>IF(AND(ISNUMBER(E255),ISNUMBER($K$4)),E255-($K$7+$K$4*A255),"")</f>
        <v/>
      </c>
    </row>
    <row r="256">
      <c r="A256" s="4" t="n"/>
      <c r="B256" s="4" t="n"/>
      <c r="C256" s="5">
        <f>IF(AND(ISNUMBER(A256),ISNUMBER(B256),ISNUMBER($K$2),ISNUMBER($K$3),$K$3&gt;$K$2),(B256-$K$2)/($K$3-$K$2),"")</f>
        <v/>
      </c>
      <c r="D256" s="5">
        <f>IF(ISNUMBER(C256),IF(B256&lt;$K$3,LN(($K$3-$K$2)/($K$3-B256)),""),"")</f>
        <v/>
      </c>
      <c r="E256" s="5">
        <f>IF(AND(ISNUMBER(C256),ISNUMBER(D256),C256&gt;=0.2,C256&lt;=0.8),D256,"")</f>
        <v/>
      </c>
      <c r="F256" s="5">
        <f>IF(ISNUMBER(E256),A256,"")</f>
        <v/>
      </c>
      <c r="G256" s="5">
        <f>IF(AND(ISNUMBER(E256),ISNUMBER($K$4)),E256-($K$7+$K$4*A256),"")</f>
        <v/>
      </c>
    </row>
    <row r="257">
      <c r="A257" s="4" t="n"/>
      <c r="B257" s="4" t="n"/>
      <c r="C257" s="5">
        <f>IF(AND(ISNUMBER(A257),ISNUMBER(B257),ISNUMBER($K$2),ISNUMBER($K$3),$K$3&gt;$K$2),(B257-$K$2)/($K$3-$K$2),"")</f>
        <v/>
      </c>
      <c r="D257" s="5">
        <f>IF(ISNUMBER(C257),IF(B257&lt;$K$3,LN(($K$3-$K$2)/($K$3-B257)),""),"")</f>
        <v/>
      </c>
      <c r="E257" s="5">
        <f>IF(AND(ISNUMBER(C257),ISNUMBER(D257),C257&gt;=0.2,C257&lt;=0.8),D257,"")</f>
        <v/>
      </c>
      <c r="F257" s="5">
        <f>IF(ISNUMBER(E257),A257,"")</f>
        <v/>
      </c>
      <c r="G257" s="5">
        <f>IF(AND(ISNUMBER(E257),ISNUMBER($K$4)),E257-($K$7+$K$4*A257),"")</f>
        <v/>
      </c>
    </row>
    <row r="258">
      <c r="A258" s="4" t="n"/>
      <c r="B258" s="4" t="n"/>
      <c r="C258" s="5">
        <f>IF(AND(ISNUMBER(A258),ISNUMBER(B258),ISNUMBER($K$2),ISNUMBER($K$3),$K$3&gt;$K$2),(B258-$K$2)/($K$3-$K$2),"")</f>
        <v/>
      </c>
      <c r="D258" s="5">
        <f>IF(ISNUMBER(C258),IF(B258&lt;$K$3,LN(($K$3-$K$2)/($K$3-B258)),""),"")</f>
        <v/>
      </c>
      <c r="E258" s="5">
        <f>IF(AND(ISNUMBER(C258),ISNUMBER(D258),C258&gt;=0.2,C258&lt;=0.8),D258,"")</f>
        <v/>
      </c>
      <c r="F258" s="5">
        <f>IF(ISNUMBER(E258),A258,"")</f>
        <v/>
      </c>
      <c r="G258" s="5">
        <f>IF(AND(ISNUMBER(E258),ISNUMBER($K$4)),E258-($K$7+$K$4*A258),"")</f>
        <v/>
      </c>
    </row>
    <row r="259">
      <c r="A259" s="4" t="n"/>
      <c r="B259" s="4" t="n"/>
      <c r="C259" s="5">
        <f>IF(AND(ISNUMBER(A259),ISNUMBER(B259),ISNUMBER($K$2),ISNUMBER($K$3),$K$3&gt;$K$2),(B259-$K$2)/($K$3-$K$2),"")</f>
        <v/>
      </c>
      <c r="D259" s="5">
        <f>IF(ISNUMBER(C259),IF(B259&lt;$K$3,LN(($K$3-$K$2)/($K$3-B259)),""),"")</f>
        <v/>
      </c>
      <c r="E259" s="5">
        <f>IF(AND(ISNUMBER(C259),ISNUMBER(D259),C259&gt;=0.2,C259&lt;=0.8),D259,"")</f>
        <v/>
      </c>
      <c r="F259" s="5">
        <f>IF(ISNUMBER(E259),A259,"")</f>
        <v/>
      </c>
      <c r="G259" s="5">
        <f>IF(AND(ISNUMBER(E259),ISNUMBER($K$4)),E259-($K$7+$K$4*A259),"")</f>
        <v/>
      </c>
    </row>
    <row r="260">
      <c r="A260" s="4" t="n"/>
      <c r="B260" s="4" t="n"/>
      <c r="C260" s="5">
        <f>IF(AND(ISNUMBER(A260),ISNUMBER(B260),ISNUMBER($K$2),ISNUMBER($K$3),$K$3&gt;$K$2),(B260-$K$2)/($K$3-$K$2),"")</f>
        <v/>
      </c>
      <c r="D260" s="5">
        <f>IF(ISNUMBER(C260),IF(B260&lt;$K$3,LN(($K$3-$K$2)/($K$3-B260)),""),"")</f>
        <v/>
      </c>
      <c r="E260" s="5">
        <f>IF(AND(ISNUMBER(C260),ISNUMBER(D260),C260&gt;=0.2,C260&lt;=0.8),D260,"")</f>
        <v/>
      </c>
      <c r="F260" s="5">
        <f>IF(ISNUMBER(E260),A260,"")</f>
        <v/>
      </c>
      <c r="G260" s="5">
        <f>IF(AND(ISNUMBER(E260),ISNUMBER($K$4)),E260-($K$7+$K$4*A260),"")</f>
        <v/>
      </c>
    </row>
    <row r="261">
      <c r="A261" s="4" t="n"/>
      <c r="B261" s="4" t="n"/>
      <c r="C261" s="5">
        <f>IF(AND(ISNUMBER(A261),ISNUMBER(B261),ISNUMBER($K$2),ISNUMBER($K$3),$K$3&gt;$K$2),(B261-$K$2)/($K$3-$K$2),"")</f>
        <v/>
      </c>
      <c r="D261" s="5">
        <f>IF(ISNUMBER(C261),IF(B261&lt;$K$3,LN(($K$3-$K$2)/($K$3-B261)),""),"")</f>
        <v/>
      </c>
      <c r="E261" s="5">
        <f>IF(AND(ISNUMBER(C261),ISNUMBER(D261),C261&gt;=0.2,C261&lt;=0.8),D261,"")</f>
        <v/>
      </c>
      <c r="F261" s="5">
        <f>IF(ISNUMBER(E261),A261,"")</f>
        <v/>
      </c>
      <c r="G261" s="5">
        <f>IF(AND(ISNUMBER(E261),ISNUMBER($K$4)),E261-($K$7+$K$4*A261),"")</f>
        <v/>
      </c>
    </row>
    <row r="262">
      <c r="A262" s="4" t="n"/>
      <c r="B262" s="4" t="n"/>
      <c r="C262" s="5">
        <f>IF(AND(ISNUMBER(A262),ISNUMBER(B262),ISNUMBER($K$2),ISNUMBER($K$3),$K$3&gt;$K$2),(B262-$K$2)/($K$3-$K$2),"")</f>
        <v/>
      </c>
      <c r="D262" s="5">
        <f>IF(ISNUMBER(C262),IF(B262&lt;$K$3,LN(($K$3-$K$2)/($K$3-B262)),""),"")</f>
        <v/>
      </c>
      <c r="E262" s="5">
        <f>IF(AND(ISNUMBER(C262),ISNUMBER(D262),C262&gt;=0.2,C262&lt;=0.8),D262,"")</f>
        <v/>
      </c>
      <c r="F262" s="5">
        <f>IF(ISNUMBER(E262),A262,"")</f>
        <v/>
      </c>
      <c r="G262" s="5">
        <f>IF(AND(ISNUMBER(E262),ISNUMBER($K$4)),E262-($K$7+$K$4*A262),"")</f>
        <v/>
      </c>
    </row>
    <row r="263">
      <c r="A263" s="4" t="n"/>
      <c r="B263" s="4" t="n"/>
      <c r="C263" s="5">
        <f>IF(AND(ISNUMBER(A263),ISNUMBER(B263),ISNUMBER($K$2),ISNUMBER($K$3),$K$3&gt;$K$2),(B263-$K$2)/($K$3-$K$2),"")</f>
        <v/>
      </c>
      <c r="D263" s="5">
        <f>IF(ISNUMBER(C263),IF(B263&lt;$K$3,LN(($K$3-$K$2)/($K$3-B263)),""),"")</f>
        <v/>
      </c>
      <c r="E263" s="5">
        <f>IF(AND(ISNUMBER(C263),ISNUMBER(D263),C263&gt;=0.2,C263&lt;=0.8),D263,"")</f>
        <v/>
      </c>
      <c r="F263" s="5">
        <f>IF(ISNUMBER(E263),A263,"")</f>
        <v/>
      </c>
      <c r="G263" s="5">
        <f>IF(AND(ISNUMBER(E263),ISNUMBER($K$4)),E263-($K$7+$K$4*A263),"")</f>
        <v/>
      </c>
    </row>
    <row r="264">
      <c r="A264" s="4" t="n"/>
      <c r="B264" s="4" t="n"/>
      <c r="C264" s="5">
        <f>IF(AND(ISNUMBER(A264),ISNUMBER(B264),ISNUMBER($K$2),ISNUMBER($K$3),$K$3&gt;$K$2),(B264-$K$2)/($K$3-$K$2),"")</f>
        <v/>
      </c>
      <c r="D264" s="5">
        <f>IF(ISNUMBER(C264),IF(B264&lt;$K$3,LN(($K$3-$K$2)/($K$3-B264)),""),"")</f>
        <v/>
      </c>
      <c r="E264" s="5">
        <f>IF(AND(ISNUMBER(C264),ISNUMBER(D264),C264&gt;=0.2,C264&lt;=0.8),D264,"")</f>
        <v/>
      </c>
      <c r="F264" s="5">
        <f>IF(ISNUMBER(E264),A264,"")</f>
        <v/>
      </c>
      <c r="G264" s="5">
        <f>IF(AND(ISNUMBER(E264),ISNUMBER($K$4)),E264-($K$7+$K$4*A264),"")</f>
        <v/>
      </c>
    </row>
    <row r="265">
      <c r="A265" s="4" t="n"/>
      <c r="B265" s="4" t="n"/>
      <c r="C265" s="5">
        <f>IF(AND(ISNUMBER(A265),ISNUMBER(B265),ISNUMBER($K$2),ISNUMBER($K$3),$K$3&gt;$K$2),(B265-$K$2)/($K$3-$K$2),"")</f>
        <v/>
      </c>
      <c r="D265" s="5">
        <f>IF(ISNUMBER(C265),IF(B265&lt;$K$3,LN(($K$3-$K$2)/($K$3-B265)),""),"")</f>
        <v/>
      </c>
      <c r="E265" s="5">
        <f>IF(AND(ISNUMBER(C265),ISNUMBER(D265),C265&gt;=0.2,C265&lt;=0.8),D265,"")</f>
        <v/>
      </c>
      <c r="F265" s="5">
        <f>IF(ISNUMBER(E265),A265,"")</f>
        <v/>
      </c>
      <c r="G265" s="5">
        <f>IF(AND(ISNUMBER(E265),ISNUMBER($K$4)),E265-($K$7+$K$4*A265),"")</f>
        <v/>
      </c>
    </row>
    <row r="266">
      <c r="A266" s="4" t="n"/>
      <c r="B266" s="4" t="n"/>
      <c r="C266" s="5">
        <f>IF(AND(ISNUMBER(A266),ISNUMBER(B266),ISNUMBER($K$2),ISNUMBER($K$3),$K$3&gt;$K$2),(B266-$K$2)/($K$3-$K$2),"")</f>
        <v/>
      </c>
      <c r="D266" s="5">
        <f>IF(ISNUMBER(C266),IF(B266&lt;$K$3,LN(($K$3-$K$2)/($K$3-B266)),""),"")</f>
        <v/>
      </c>
      <c r="E266" s="5">
        <f>IF(AND(ISNUMBER(C266),ISNUMBER(D266),C266&gt;=0.2,C266&lt;=0.8),D266,"")</f>
        <v/>
      </c>
      <c r="F266" s="5">
        <f>IF(ISNUMBER(E266),A266,"")</f>
        <v/>
      </c>
      <c r="G266" s="5">
        <f>IF(AND(ISNUMBER(E266),ISNUMBER($K$4)),E266-($K$7+$K$4*A266),"")</f>
        <v/>
      </c>
    </row>
    <row r="267">
      <c r="A267" s="4" t="n"/>
      <c r="B267" s="4" t="n"/>
      <c r="C267" s="5">
        <f>IF(AND(ISNUMBER(A267),ISNUMBER(B267),ISNUMBER($K$2),ISNUMBER($K$3),$K$3&gt;$K$2),(B267-$K$2)/($K$3-$K$2),"")</f>
        <v/>
      </c>
      <c r="D267" s="5">
        <f>IF(ISNUMBER(C267),IF(B267&lt;$K$3,LN(($K$3-$K$2)/($K$3-B267)),""),"")</f>
        <v/>
      </c>
      <c r="E267" s="5">
        <f>IF(AND(ISNUMBER(C267),ISNUMBER(D267),C267&gt;=0.2,C267&lt;=0.8),D267,"")</f>
        <v/>
      </c>
      <c r="F267" s="5">
        <f>IF(ISNUMBER(E267),A267,"")</f>
        <v/>
      </c>
      <c r="G267" s="5">
        <f>IF(AND(ISNUMBER(E267),ISNUMBER($K$4)),E267-($K$7+$K$4*A267),"")</f>
        <v/>
      </c>
    </row>
    <row r="268">
      <c r="A268" s="4" t="n"/>
      <c r="B268" s="4" t="n"/>
      <c r="C268" s="5">
        <f>IF(AND(ISNUMBER(A268),ISNUMBER(B268),ISNUMBER($K$2),ISNUMBER($K$3),$K$3&gt;$K$2),(B268-$K$2)/($K$3-$K$2),"")</f>
        <v/>
      </c>
      <c r="D268" s="5">
        <f>IF(ISNUMBER(C268),IF(B268&lt;$K$3,LN(($K$3-$K$2)/($K$3-B268)),""),"")</f>
        <v/>
      </c>
      <c r="E268" s="5">
        <f>IF(AND(ISNUMBER(C268),ISNUMBER(D268),C268&gt;=0.2,C268&lt;=0.8),D268,"")</f>
        <v/>
      </c>
      <c r="F268" s="5">
        <f>IF(ISNUMBER(E268),A268,"")</f>
        <v/>
      </c>
      <c r="G268" s="5">
        <f>IF(AND(ISNUMBER(E268),ISNUMBER($K$4)),E268-($K$7+$K$4*A268),"")</f>
        <v/>
      </c>
    </row>
    <row r="269">
      <c r="A269" s="4" t="n"/>
      <c r="B269" s="4" t="n"/>
      <c r="C269" s="5">
        <f>IF(AND(ISNUMBER(A269),ISNUMBER(B269),ISNUMBER($K$2),ISNUMBER($K$3),$K$3&gt;$K$2),(B269-$K$2)/($K$3-$K$2),"")</f>
        <v/>
      </c>
      <c r="D269" s="5">
        <f>IF(ISNUMBER(C269),IF(B269&lt;$K$3,LN(($K$3-$K$2)/($K$3-B269)),""),"")</f>
        <v/>
      </c>
      <c r="E269" s="5">
        <f>IF(AND(ISNUMBER(C269),ISNUMBER(D269),C269&gt;=0.2,C269&lt;=0.8),D269,"")</f>
        <v/>
      </c>
      <c r="F269" s="5">
        <f>IF(ISNUMBER(E269),A269,"")</f>
        <v/>
      </c>
      <c r="G269" s="5">
        <f>IF(AND(ISNUMBER(E269),ISNUMBER($K$4)),E269-($K$7+$K$4*A269),"")</f>
        <v/>
      </c>
    </row>
    <row r="270">
      <c r="A270" s="4" t="n"/>
      <c r="B270" s="4" t="n"/>
      <c r="C270" s="5">
        <f>IF(AND(ISNUMBER(A270),ISNUMBER(B270),ISNUMBER($K$2),ISNUMBER($K$3),$K$3&gt;$K$2),(B270-$K$2)/($K$3-$K$2),"")</f>
        <v/>
      </c>
      <c r="D270" s="5">
        <f>IF(ISNUMBER(C270),IF(B270&lt;$K$3,LN(($K$3-$K$2)/($K$3-B270)),""),"")</f>
        <v/>
      </c>
      <c r="E270" s="5">
        <f>IF(AND(ISNUMBER(C270),ISNUMBER(D270),C270&gt;=0.2,C270&lt;=0.8),D270,"")</f>
        <v/>
      </c>
      <c r="F270" s="5">
        <f>IF(ISNUMBER(E270),A270,"")</f>
        <v/>
      </c>
      <c r="G270" s="5">
        <f>IF(AND(ISNUMBER(E270),ISNUMBER($K$4)),E270-($K$7+$K$4*A270),"")</f>
        <v/>
      </c>
    </row>
    <row r="271">
      <c r="A271" s="4" t="n"/>
      <c r="B271" s="4" t="n"/>
      <c r="C271" s="5">
        <f>IF(AND(ISNUMBER(A271),ISNUMBER(B271),ISNUMBER($K$2),ISNUMBER($K$3),$K$3&gt;$K$2),(B271-$K$2)/($K$3-$K$2),"")</f>
        <v/>
      </c>
      <c r="D271" s="5">
        <f>IF(ISNUMBER(C271),IF(B271&lt;$K$3,LN(($K$3-$K$2)/($K$3-B271)),""),"")</f>
        <v/>
      </c>
      <c r="E271" s="5">
        <f>IF(AND(ISNUMBER(C271),ISNUMBER(D271),C271&gt;=0.2,C271&lt;=0.8),D271,"")</f>
        <v/>
      </c>
      <c r="F271" s="5">
        <f>IF(ISNUMBER(E271),A271,"")</f>
        <v/>
      </c>
      <c r="G271" s="5">
        <f>IF(AND(ISNUMBER(E271),ISNUMBER($K$4)),E271-($K$7+$K$4*A271),"")</f>
        <v/>
      </c>
    </row>
    <row r="272">
      <c r="A272" s="4" t="n"/>
      <c r="B272" s="4" t="n"/>
      <c r="C272" s="5">
        <f>IF(AND(ISNUMBER(A272),ISNUMBER(B272),ISNUMBER($K$2),ISNUMBER($K$3),$K$3&gt;$K$2),(B272-$K$2)/($K$3-$K$2),"")</f>
        <v/>
      </c>
      <c r="D272" s="5">
        <f>IF(ISNUMBER(C272),IF(B272&lt;$K$3,LN(($K$3-$K$2)/($K$3-B272)),""),"")</f>
        <v/>
      </c>
      <c r="E272" s="5">
        <f>IF(AND(ISNUMBER(C272),ISNUMBER(D272),C272&gt;=0.2,C272&lt;=0.8),D272,"")</f>
        <v/>
      </c>
      <c r="F272" s="5">
        <f>IF(ISNUMBER(E272),A272,"")</f>
        <v/>
      </c>
      <c r="G272" s="5">
        <f>IF(AND(ISNUMBER(E272),ISNUMBER($K$4)),E272-($K$7+$K$4*A272),"")</f>
        <v/>
      </c>
    </row>
    <row r="273">
      <c r="A273" s="4" t="n"/>
      <c r="B273" s="4" t="n"/>
      <c r="C273" s="5">
        <f>IF(AND(ISNUMBER(A273),ISNUMBER(B273),ISNUMBER($K$2),ISNUMBER($K$3),$K$3&gt;$K$2),(B273-$K$2)/($K$3-$K$2),"")</f>
        <v/>
      </c>
      <c r="D273" s="5">
        <f>IF(ISNUMBER(C273),IF(B273&lt;$K$3,LN(($K$3-$K$2)/($K$3-B273)),""),"")</f>
        <v/>
      </c>
      <c r="E273" s="5">
        <f>IF(AND(ISNUMBER(C273),ISNUMBER(D273),C273&gt;=0.2,C273&lt;=0.8),D273,"")</f>
        <v/>
      </c>
      <c r="F273" s="5">
        <f>IF(ISNUMBER(E273),A273,"")</f>
        <v/>
      </c>
      <c r="G273" s="5">
        <f>IF(AND(ISNUMBER(E273),ISNUMBER($K$4)),E273-($K$7+$K$4*A273),"")</f>
        <v/>
      </c>
    </row>
    <row r="274">
      <c r="A274" s="4" t="n"/>
      <c r="B274" s="4" t="n"/>
      <c r="C274" s="5">
        <f>IF(AND(ISNUMBER(A274),ISNUMBER(B274),ISNUMBER($K$2),ISNUMBER($K$3),$K$3&gt;$K$2),(B274-$K$2)/($K$3-$K$2),"")</f>
        <v/>
      </c>
      <c r="D274" s="5">
        <f>IF(ISNUMBER(C274),IF(B274&lt;$K$3,LN(($K$3-$K$2)/($K$3-B274)),""),"")</f>
        <v/>
      </c>
      <c r="E274" s="5">
        <f>IF(AND(ISNUMBER(C274),ISNUMBER(D274),C274&gt;=0.2,C274&lt;=0.8),D274,"")</f>
        <v/>
      </c>
      <c r="F274" s="5">
        <f>IF(ISNUMBER(E274),A274,"")</f>
        <v/>
      </c>
      <c r="G274" s="5">
        <f>IF(AND(ISNUMBER(E274),ISNUMBER($K$4)),E274-($K$7+$K$4*A274),"")</f>
        <v/>
      </c>
    </row>
    <row r="275">
      <c r="A275" s="4" t="n"/>
      <c r="B275" s="4" t="n"/>
      <c r="C275" s="5">
        <f>IF(AND(ISNUMBER(A275),ISNUMBER(B275),ISNUMBER($K$2),ISNUMBER($K$3),$K$3&gt;$K$2),(B275-$K$2)/($K$3-$K$2),"")</f>
        <v/>
      </c>
      <c r="D275" s="5">
        <f>IF(ISNUMBER(C275),IF(B275&lt;$K$3,LN(($K$3-$K$2)/($K$3-B275)),""),"")</f>
        <v/>
      </c>
      <c r="E275" s="5">
        <f>IF(AND(ISNUMBER(C275),ISNUMBER(D275),C275&gt;=0.2,C275&lt;=0.8),D275,"")</f>
        <v/>
      </c>
      <c r="F275" s="5">
        <f>IF(ISNUMBER(E275),A275,"")</f>
        <v/>
      </c>
      <c r="G275" s="5">
        <f>IF(AND(ISNUMBER(E275),ISNUMBER($K$4)),E275-($K$7+$K$4*A275),"")</f>
        <v/>
      </c>
    </row>
    <row r="276">
      <c r="A276" s="4" t="n"/>
      <c r="B276" s="4" t="n"/>
      <c r="C276" s="5">
        <f>IF(AND(ISNUMBER(A276),ISNUMBER(B276),ISNUMBER($K$2),ISNUMBER($K$3),$K$3&gt;$K$2),(B276-$K$2)/($K$3-$K$2),"")</f>
        <v/>
      </c>
      <c r="D276" s="5">
        <f>IF(ISNUMBER(C276),IF(B276&lt;$K$3,LN(($K$3-$K$2)/($K$3-B276)),""),"")</f>
        <v/>
      </c>
      <c r="E276" s="5">
        <f>IF(AND(ISNUMBER(C276),ISNUMBER(D276),C276&gt;=0.2,C276&lt;=0.8),D276,"")</f>
        <v/>
      </c>
      <c r="F276" s="5">
        <f>IF(ISNUMBER(E276),A276,"")</f>
        <v/>
      </c>
      <c r="G276" s="5">
        <f>IF(AND(ISNUMBER(E276),ISNUMBER($K$4)),E276-($K$7+$K$4*A276),"")</f>
        <v/>
      </c>
    </row>
    <row r="277">
      <c r="A277" s="4" t="n"/>
      <c r="B277" s="4" t="n"/>
      <c r="C277" s="5">
        <f>IF(AND(ISNUMBER(A277),ISNUMBER(B277),ISNUMBER($K$2),ISNUMBER($K$3),$K$3&gt;$K$2),(B277-$K$2)/($K$3-$K$2),"")</f>
        <v/>
      </c>
      <c r="D277" s="5">
        <f>IF(ISNUMBER(C277),IF(B277&lt;$K$3,LN(($K$3-$K$2)/($K$3-B277)),""),"")</f>
        <v/>
      </c>
      <c r="E277" s="5">
        <f>IF(AND(ISNUMBER(C277),ISNUMBER(D277),C277&gt;=0.2,C277&lt;=0.8),D277,"")</f>
        <v/>
      </c>
      <c r="F277" s="5">
        <f>IF(ISNUMBER(E277),A277,"")</f>
        <v/>
      </c>
      <c r="G277" s="5">
        <f>IF(AND(ISNUMBER(E277),ISNUMBER($K$4)),E277-($K$7+$K$4*A277),"")</f>
        <v/>
      </c>
    </row>
    <row r="278">
      <c r="A278" s="4" t="n"/>
      <c r="B278" s="4" t="n"/>
      <c r="C278" s="5">
        <f>IF(AND(ISNUMBER(A278),ISNUMBER(B278),ISNUMBER($K$2),ISNUMBER($K$3),$K$3&gt;$K$2),(B278-$K$2)/($K$3-$K$2),"")</f>
        <v/>
      </c>
      <c r="D278" s="5">
        <f>IF(ISNUMBER(C278),IF(B278&lt;$K$3,LN(($K$3-$K$2)/($K$3-B278)),""),"")</f>
        <v/>
      </c>
      <c r="E278" s="5">
        <f>IF(AND(ISNUMBER(C278),ISNUMBER(D278),C278&gt;=0.2,C278&lt;=0.8),D278,"")</f>
        <v/>
      </c>
      <c r="F278" s="5">
        <f>IF(ISNUMBER(E278),A278,"")</f>
        <v/>
      </c>
      <c r="G278" s="5">
        <f>IF(AND(ISNUMBER(E278),ISNUMBER($K$4)),E278-($K$7+$K$4*A278),"")</f>
        <v/>
      </c>
    </row>
    <row r="279">
      <c r="A279" s="4" t="n"/>
      <c r="B279" s="4" t="n"/>
      <c r="C279" s="5">
        <f>IF(AND(ISNUMBER(A279),ISNUMBER(B279),ISNUMBER($K$2),ISNUMBER($K$3),$K$3&gt;$K$2),(B279-$K$2)/($K$3-$K$2),"")</f>
        <v/>
      </c>
      <c r="D279" s="5">
        <f>IF(ISNUMBER(C279),IF(B279&lt;$K$3,LN(($K$3-$K$2)/($K$3-B279)),""),"")</f>
        <v/>
      </c>
      <c r="E279" s="5">
        <f>IF(AND(ISNUMBER(C279),ISNUMBER(D279),C279&gt;=0.2,C279&lt;=0.8),D279,"")</f>
        <v/>
      </c>
      <c r="F279" s="5">
        <f>IF(ISNUMBER(E279),A279,"")</f>
        <v/>
      </c>
      <c r="G279" s="5">
        <f>IF(AND(ISNUMBER(E279),ISNUMBER($K$4)),E279-($K$7+$K$4*A279),"")</f>
        <v/>
      </c>
    </row>
    <row r="280">
      <c r="A280" s="4" t="n"/>
      <c r="B280" s="4" t="n"/>
      <c r="C280" s="5">
        <f>IF(AND(ISNUMBER(A280),ISNUMBER(B280),ISNUMBER($K$2),ISNUMBER($K$3),$K$3&gt;$K$2),(B280-$K$2)/($K$3-$K$2),"")</f>
        <v/>
      </c>
      <c r="D280" s="5">
        <f>IF(ISNUMBER(C280),IF(B280&lt;$K$3,LN(($K$3-$K$2)/($K$3-B280)),""),"")</f>
        <v/>
      </c>
      <c r="E280" s="5">
        <f>IF(AND(ISNUMBER(C280),ISNUMBER(D280),C280&gt;=0.2,C280&lt;=0.8),D280,"")</f>
        <v/>
      </c>
      <c r="F280" s="5">
        <f>IF(ISNUMBER(E280),A280,"")</f>
        <v/>
      </c>
      <c r="G280" s="5">
        <f>IF(AND(ISNUMBER(E280),ISNUMBER($K$4)),E280-($K$7+$K$4*A280),"")</f>
        <v/>
      </c>
    </row>
    <row r="281">
      <c r="A281" s="4" t="n"/>
      <c r="B281" s="4" t="n"/>
      <c r="C281" s="5">
        <f>IF(AND(ISNUMBER(A281),ISNUMBER(B281),ISNUMBER($K$2),ISNUMBER($K$3),$K$3&gt;$K$2),(B281-$K$2)/($K$3-$K$2),"")</f>
        <v/>
      </c>
      <c r="D281" s="5">
        <f>IF(ISNUMBER(C281),IF(B281&lt;$K$3,LN(($K$3-$K$2)/($K$3-B281)),""),"")</f>
        <v/>
      </c>
      <c r="E281" s="5">
        <f>IF(AND(ISNUMBER(C281),ISNUMBER(D281),C281&gt;=0.2,C281&lt;=0.8),D281,"")</f>
        <v/>
      </c>
      <c r="F281" s="5">
        <f>IF(ISNUMBER(E281),A281,"")</f>
        <v/>
      </c>
      <c r="G281" s="5">
        <f>IF(AND(ISNUMBER(E281),ISNUMBER($K$4)),E281-($K$7+$K$4*A281),"")</f>
        <v/>
      </c>
    </row>
    <row r="282">
      <c r="A282" s="4" t="n"/>
      <c r="B282" s="4" t="n"/>
      <c r="C282" s="5">
        <f>IF(AND(ISNUMBER(A282),ISNUMBER(B282),ISNUMBER($K$2),ISNUMBER($K$3),$K$3&gt;$K$2),(B282-$K$2)/($K$3-$K$2),"")</f>
        <v/>
      </c>
      <c r="D282" s="5">
        <f>IF(ISNUMBER(C282),IF(B282&lt;$K$3,LN(($K$3-$K$2)/($K$3-B282)),""),"")</f>
        <v/>
      </c>
      <c r="E282" s="5">
        <f>IF(AND(ISNUMBER(C282),ISNUMBER(D282),C282&gt;=0.2,C282&lt;=0.8),D282,"")</f>
        <v/>
      </c>
      <c r="F282" s="5">
        <f>IF(ISNUMBER(E282),A282,"")</f>
        <v/>
      </c>
      <c r="G282" s="5">
        <f>IF(AND(ISNUMBER(E282),ISNUMBER($K$4)),E282-($K$7+$K$4*A282),"")</f>
        <v/>
      </c>
    </row>
    <row r="283">
      <c r="A283" s="4" t="n"/>
      <c r="B283" s="4" t="n"/>
      <c r="C283" s="5">
        <f>IF(AND(ISNUMBER(A283),ISNUMBER(B283),ISNUMBER($K$2),ISNUMBER($K$3),$K$3&gt;$K$2),(B283-$K$2)/($K$3-$K$2),"")</f>
        <v/>
      </c>
      <c r="D283" s="5">
        <f>IF(ISNUMBER(C283),IF(B283&lt;$K$3,LN(($K$3-$K$2)/($K$3-B283)),""),"")</f>
        <v/>
      </c>
      <c r="E283" s="5">
        <f>IF(AND(ISNUMBER(C283),ISNUMBER(D283),C283&gt;=0.2,C283&lt;=0.8),D283,"")</f>
        <v/>
      </c>
      <c r="F283" s="5">
        <f>IF(ISNUMBER(E283),A283,"")</f>
        <v/>
      </c>
      <c r="G283" s="5">
        <f>IF(AND(ISNUMBER(E283),ISNUMBER($K$4)),E283-($K$7+$K$4*A283),"")</f>
        <v/>
      </c>
    </row>
    <row r="284">
      <c r="A284" s="4" t="n"/>
      <c r="B284" s="4" t="n"/>
      <c r="C284" s="5">
        <f>IF(AND(ISNUMBER(A284),ISNUMBER(B284),ISNUMBER($K$2),ISNUMBER($K$3),$K$3&gt;$K$2),(B284-$K$2)/($K$3-$K$2),"")</f>
        <v/>
      </c>
      <c r="D284" s="5">
        <f>IF(ISNUMBER(C284),IF(B284&lt;$K$3,LN(($K$3-$K$2)/($K$3-B284)),""),"")</f>
        <v/>
      </c>
      <c r="E284" s="5">
        <f>IF(AND(ISNUMBER(C284),ISNUMBER(D284),C284&gt;=0.2,C284&lt;=0.8),D284,"")</f>
        <v/>
      </c>
      <c r="F284" s="5">
        <f>IF(ISNUMBER(E284),A284,"")</f>
        <v/>
      </c>
      <c r="G284" s="5">
        <f>IF(AND(ISNUMBER(E284),ISNUMBER($K$4)),E284-($K$7+$K$4*A284),"")</f>
        <v/>
      </c>
    </row>
    <row r="285">
      <c r="A285" s="4" t="n"/>
      <c r="B285" s="4" t="n"/>
      <c r="C285" s="5">
        <f>IF(AND(ISNUMBER(A285),ISNUMBER(B285),ISNUMBER($K$2),ISNUMBER($K$3),$K$3&gt;$K$2),(B285-$K$2)/($K$3-$K$2),"")</f>
        <v/>
      </c>
      <c r="D285" s="5">
        <f>IF(ISNUMBER(C285),IF(B285&lt;$K$3,LN(($K$3-$K$2)/($K$3-B285)),""),"")</f>
        <v/>
      </c>
      <c r="E285" s="5">
        <f>IF(AND(ISNUMBER(C285),ISNUMBER(D285),C285&gt;=0.2,C285&lt;=0.8),D285,"")</f>
        <v/>
      </c>
      <c r="F285" s="5">
        <f>IF(ISNUMBER(E285),A285,"")</f>
        <v/>
      </c>
      <c r="G285" s="5">
        <f>IF(AND(ISNUMBER(E285),ISNUMBER($K$4)),E285-($K$7+$K$4*A285),"")</f>
        <v/>
      </c>
    </row>
    <row r="286">
      <c r="A286" s="4" t="n"/>
      <c r="B286" s="4" t="n"/>
      <c r="C286" s="5">
        <f>IF(AND(ISNUMBER(A286),ISNUMBER(B286),ISNUMBER($K$2),ISNUMBER($K$3),$K$3&gt;$K$2),(B286-$K$2)/($K$3-$K$2),"")</f>
        <v/>
      </c>
      <c r="D286" s="5">
        <f>IF(ISNUMBER(C286),IF(B286&lt;$K$3,LN(($K$3-$K$2)/($K$3-B286)),""),"")</f>
        <v/>
      </c>
      <c r="E286" s="5">
        <f>IF(AND(ISNUMBER(C286),ISNUMBER(D286),C286&gt;=0.2,C286&lt;=0.8),D286,"")</f>
        <v/>
      </c>
      <c r="F286" s="5">
        <f>IF(ISNUMBER(E286),A286,"")</f>
        <v/>
      </c>
      <c r="G286" s="5">
        <f>IF(AND(ISNUMBER(E286),ISNUMBER($K$4)),E286-($K$7+$K$4*A286),"")</f>
        <v/>
      </c>
    </row>
    <row r="287">
      <c r="A287" s="4" t="n"/>
      <c r="B287" s="4" t="n"/>
      <c r="C287" s="5">
        <f>IF(AND(ISNUMBER(A287),ISNUMBER(B287),ISNUMBER($K$2),ISNUMBER($K$3),$K$3&gt;$K$2),(B287-$K$2)/($K$3-$K$2),"")</f>
        <v/>
      </c>
      <c r="D287" s="5">
        <f>IF(ISNUMBER(C287),IF(B287&lt;$K$3,LN(($K$3-$K$2)/($K$3-B287)),""),"")</f>
        <v/>
      </c>
      <c r="E287" s="5">
        <f>IF(AND(ISNUMBER(C287),ISNUMBER(D287),C287&gt;=0.2,C287&lt;=0.8),D287,"")</f>
        <v/>
      </c>
      <c r="F287" s="5">
        <f>IF(ISNUMBER(E287),A287,"")</f>
        <v/>
      </c>
      <c r="G287" s="5">
        <f>IF(AND(ISNUMBER(E287),ISNUMBER($K$4)),E287-($K$7+$K$4*A287),"")</f>
        <v/>
      </c>
    </row>
    <row r="288">
      <c r="A288" s="4" t="n"/>
      <c r="B288" s="4" t="n"/>
      <c r="C288" s="5">
        <f>IF(AND(ISNUMBER(A288),ISNUMBER(B288),ISNUMBER($K$2),ISNUMBER($K$3),$K$3&gt;$K$2),(B288-$K$2)/($K$3-$K$2),"")</f>
        <v/>
      </c>
      <c r="D288" s="5">
        <f>IF(ISNUMBER(C288),IF(B288&lt;$K$3,LN(($K$3-$K$2)/($K$3-B288)),""),"")</f>
        <v/>
      </c>
      <c r="E288" s="5">
        <f>IF(AND(ISNUMBER(C288),ISNUMBER(D288),C288&gt;=0.2,C288&lt;=0.8),D288,"")</f>
        <v/>
      </c>
      <c r="F288" s="5">
        <f>IF(ISNUMBER(E288),A288,"")</f>
        <v/>
      </c>
      <c r="G288" s="5">
        <f>IF(AND(ISNUMBER(E288),ISNUMBER($K$4)),E288-($K$7+$K$4*A288),"")</f>
        <v/>
      </c>
    </row>
    <row r="289">
      <c r="A289" s="4" t="n"/>
      <c r="B289" s="4" t="n"/>
      <c r="C289" s="5">
        <f>IF(AND(ISNUMBER(A289),ISNUMBER(B289),ISNUMBER($K$2),ISNUMBER($K$3),$K$3&gt;$K$2),(B289-$K$2)/($K$3-$K$2),"")</f>
        <v/>
      </c>
      <c r="D289" s="5">
        <f>IF(ISNUMBER(C289),IF(B289&lt;$K$3,LN(($K$3-$K$2)/($K$3-B289)),""),"")</f>
        <v/>
      </c>
      <c r="E289" s="5">
        <f>IF(AND(ISNUMBER(C289),ISNUMBER(D289),C289&gt;=0.2,C289&lt;=0.8),D289,"")</f>
        <v/>
      </c>
      <c r="F289" s="5">
        <f>IF(ISNUMBER(E289),A289,"")</f>
        <v/>
      </c>
      <c r="G289" s="5">
        <f>IF(AND(ISNUMBER(E289),ISNUMBER($K$4)),E289-($K$7+$K$4*A289),"")</f>
        <v/>
      </c>
    </row>
    <row r="290">
      <c r="A290" s="4" t="n"/>
      <c r="B290" s="4" t="n"/>
      <c r="C290" s="5">
        <f>IF(AND(ISNUMBER(A290),ISNUMBER(B290),ISNUMBER($K$2),ISNUMBER($K$3),$K$3&gt;$K$2),(B290-$K$2)/($K$3-$K$2),"")</f>
        <v/>
      </c>
      <c r="D290" s="5">
        <f>IF(ISNUMBER(C290),IF(B290&lt;$K$3,LN(($K$3-$K$2)/($K$3-B290)),""),"")</f>
        <v/>
      </c>
      <c r="E290" s="5">
        <f>IF(AND(ISNUMBER(C290),ISNUMBER(D290),C290&gt;=0.2,C290&lt;=0.8),D290,"")</f>
        <v/>
      </c>
      <c r="F290" s="5">
        <f>IF(ISNUMBER(E290),A290,"")</f>
        <v/>
      </c>
      <c r="G290" s="5">
        <f>IF(AND(ISNUMBER(E290),ISNUMBER($K$4)),E290-($K$7+$K$4*A290),"")</f>
        <v/>
      </c>
    </row>
    <row r="291">
      <c r="A291" s="4" t="n"/>
      <c r="B291" s="4" t="n"/>
      <c r="C291" s="5">
        <f>IF(AND(ISNUMBER(A291),ISNUMBER(B291),ISNUMBER($K$2),ISNUMBER($K$3),$K$3&gt;$K$2),(B291-$K$2)/($K$3-$K$2),"")</f>
        <v/>
      </c>
      <c r="D291" s="5">
        <f>IF(ISNUMBER(C291),IF(B291&lt;$K$3,LN(($K$3-$K$2)/($K$3-B291)),""),"")</f>
        <v/>
      </c>
      <c r="E291" s="5">
        <f>IF(AND(ISNUMBER(C291),ISNUMBER(D291),C291&gt;=0.2,C291&lt;=0.8),D291,"")</f>
        <v/>
      </c>
      <c r="F291" s="5">
        <f>IF(ISNUMBER(E291),A291,"")</f>
        <v/>
      </c>
      <c r="G291" s="5">
        <f>IF(AND(ISNUMBER(E291),ISNUMBER($K$4)),E291-($K$7+$K$4*A291),"")</f>
        <v/>
      </c>
    </row>
    <row r="292">
      <c r="A292" s="4" t="n"/>
      <c r="B292" s="4" t="n"/>
      <c r="C292" s="5">
        <f>IF(AND(ISNUMBER(A292),ISNUMBER(B292),ISNUMBER($K$2),ISNUMBER($K$3),$K$3&gt;$K$2),(B292-$K$2)/($K$3-$K$2),"")</f>
        <v/>
      </c>
      <c r="D292" s="5">
        <f>IF(ISNUMBER(C292),IF(B292&lt;$K$3,LN(($K$3-$K$2)/($K$3-B292)),""),"")</f>
        <v/>
      </c>
      <c r="E292" s="5">
        <f>IF(AND(ISNUMBER(C292),ISNUMBER(D292),C292&gt;=0.2,C292&lt;=0.8),D292,"")</f>
        <v/>
      </c>
      <c r="F292" s="5">
        <f>IF(ISNUMBER(E292),A292,"")</f>
        <v/>
      </c>
      <c r="G292" s="5">
        <f>IF(AND(ISNUMBER(E292),ISNUMBER($K$4)),E292-($K$7+$K$4*A292),"")</f>
        <v/>
      </c>
    </row>
    <row r="293">
      <c r="A293" s="4" t="n"/>
      <c r="B293" s="4" t="n"/>
      <c r="C293" s="5">
        <f>IF(AND(ISNUMBER(A293),ISNUMBER(B293),ISNUMBER($K$2),ISNUMBER($K$3),$K$3&gt;$K$2),(B293-$K$2)/($K$3-$K$2),"")</f>
        <v/>
      </c>
      <c r="D293" s="5">
        <f>IF(ISNUMBER(C293),IF(B293&lt;$K$3,LN(($K$3-$K$2)/($K$3-B293)),""),"")</f>
        <v/>
      </c>
      <c r="E293" s="5">
        <f>IF(AND(ISNUMBER(C293),ISNUMBER(D293),C293&gt;=0.2,C293&lt;=0.8),D293,"")</f>
        <v/>
      </c>
      <c r="F293" s="5">
        <f>IF(ISNUMBER(E293),A293,"")</f>
        <v/>
      </c>
      <c r="G293" s="5">
        <f>IF(AND(ISNUMBER(E293),ISNUMBER($K$4)),E293-($K$7+$K$4*A293),"")</f>
        <v/>
      </c>
    </row>
    <row r="294">
      <c r="A294" s="4" t="n"/>
      <c r="B294" s="4" t="n"/>
      <c r="C294" s="5">
        <f>IF(AND(ISNUMBER(A294),ISNUMBER(B294),ISNUMBER($K$2),ISNUMBER($K$3),$K$3&gt;$K$2),(B294-$K$2)/($K$3-$K$2),"")</f>
        <v/>
      </c>
      <c r="D294" s="5">
        <f>IF(ISNUMBER(C294),IF(B294&lt;$K$3,LN(($K$3-$K$2)/($K$3-B294)),""),"")</f>
        <v/>
      </c>
      <c r="E294" s="5">
        <f>IF(AND(ISNUMBER(C294),ISNUMBER(D294),C294&gt;=0.2,C294&lt;=0.8),D294,"")</f>
        <v/>
      </c>
      <c r="F294" s="5">
        <f>IF(ISNUMBER(E294),A294,"")</f>
        <v/>
      </c>
      <c r="G294" s="5">
        <f>IF(AND(ISNUMBER(E294),ISNUMBER($K$4)),E294-($K$7+$K$4*A294),"")</f>
        <v/>
      </c>
    </row>
    <row r="295">
      <c r="A295" s="4" t="n"/>
      <c r="B295" s="4" t="n"/>
      <c r="C295" s="5">
        <f>IF(AND(ISNUMBER(A295),ISNUMBER(B295),ISNUMBER($K$2),ISNUMBER($K$3),$K$3&gt;$K$2),(B295-$K$2)/($K$3-$K$2),"")</f>
        <v/>
      </c>
      <c r="D295" s="5">
        <f>IF(ISNUMBER(C295),IF(B295&lt;$K$3,LN(($K$3-$K$2)/($K$3-B295)),""),"")</f>
        <v/>
      </c>
      <c r="E295" s="5">
        <f>IF(AND(ISNUMBER(C295),ISNUMBER(D295),C295&gt;=0.2,C295&lt;=0.8),D295,"")</f>
        <v/>
      </c>
      <c r="F295" s="5">
        <f>IF(ISNUMBER(E295),A295,"")</f>
        <v/>
      </c>
      <c r="G295" s="5">
        <f>IF(AND(ISNUMBER(E295),ISNUMBER($K$4)),E295-($K$7+$K$4*A295),"")</f>
        <v/>
      </c>
    </row>
    <row r="296">
      <c r="A296" s="4" t="n"/>
      <c r="B296" s="4" t="n"/>
      <c r="C296" s="5">
        <f>IF(AND(ISNUMBER(A296),ISNUMBER(B296),ISNUMBER($K$2),ISNUMBER($K$3),$K$3&gt;$K$2),(B296-$K$2)/($K$3-$K$2),"")</f>
        <v/>
      </c>
      <c r="D296" s="5">
        <f>IF(ISNUMBER(C296),IF(B296&lt;$K$3,LN(($K$3-$K$2)/($K$3-B296)),""),"")</f>
        <v/>
      </c>
      <c r="E296" s="5">
        <f>IF(AND(ISNUMBER(C296),ISNUMBER(D296),C296&gt;=0.2,C296&lt;=0.8),D296,"")</f>
        <v/>
      </c>
      <c r="F296" s="5">
        <f>IF(ISNUMBER(E296),A296,"")</f>
        <v/>
      </c>
      <c r="G296" s="5">
        <f>IF(AND(ISNUMBER(E296),ISNUMBER($K$4)),E296-($K$7+$K$4*A296),"")</f>
        <v/>
      </c>
    </row>
    <row r="297">
      <c r="A297" s="4" t="n"/>
      <c r="B297" s="4" t="n"/>
      <c r="C297" s="5">
        <f>IF(AND(ISNUMBER(A297),ISNUMBER(B297),ISNUMBER($K$2),ISNUMBER($K$3),$K$3&gt;$K$2),(B297-$K$2)/($K$3-$K$2),"")</f>
        <v/>
      </c>
      <c r="D297" s="5">
        <f>IF(ISNUMBER(C297),IF(B297&lt;$K$3,LN(($K$3-$K$2)/($K$3-B297)),""),"")</f>
        <v/>
      </c>
      <c r="E297" s="5">
        <f>IF(AND(ISNUMBER(C297),ISNUMBER(D297),C297&gt;=0.2,C297&lt;=0.8),D297,"")</f>
        <v/>
      </c>
      <c r="F297" s="5">
        <f>IF(ISNUMBER(E297),A297,"")</f>
        <v/>
      </c>
      <c r="G297" s="5">
        <f>IF(AND(ISNUMBER(E297),ISNUMBER($K$4)),E297-($K$7+$K$4*A297),"")</f>
        <v/>
      </c>
    </row>
    <row r="298">
      <c r="A298" s="4" t="n"/>
      <c r="B298" s="4" t="n"/>
      <c r="C298" s="5">
        <f>IF(AND(ISNUMBER(A298),ISNUMBER(B298),ISNUMBER($K$2),ISNUMBER($K$3),$K$3&gt;$K$2),(B298-$K$2)/($K$3-$K$2),"")</f>
        <v/>
      </c>
      <c r="D298" s="5">
        <f>IF(ISNUMBER(C298),IF(B298&lt;$K$3,LN(($K$3-$K$2)/($K$3-B298)),""),"")</f>
        <v/>
      </c>
      <c r="E298" s="5">
        <f>IF(AND(ISNUMBER(C298),ISNUMBER(D298),C298&gt;=0.2,C298&lt;=0.8),D298,"")</f>
        <v/>
      </c>
      <c r="F298" s="5">
        <f>IF(ISNUMBER(E298),A298,"")</f>
        <v/>
      </c>
      <c r="G298" s="5">
        <f>IF(AND(ISNUMBER(E298),ISNUMBER($K$4)),E298-($K$7+$K$4*A298),"")</f>
        <v/>
      </c>
    </row>
    <row r="299">
      <c r="A299" s="4" t="n"/>
      <c r="B299" s="4" t="n"/>
      <c r="C299" s="5">
        <f>IF(AND(ISNUMBER(A299),ISNUMBER(B299),ISNUMBER($K$2),ISNUMBER($K$3),$K$3&gt;$K$2),(B299-$K$2)/($K$3-$K$2),"")</f>
        <v/>
      </c>
      <c r="D299" s="5">
        <f>IF(ISNUMBER(C299),IF(B299&lt;$K$3,LN(($K$3-$K$2)/($K$3-B299)),""),"")</f>
        <v/>
      </c>
      <c r="E299" s="5">
        <f>IF(AND(ISNUMBER(C299),ISNUMBER(D299),C299&gt;=0.2,C299&lt;=0.8),D299,"")</f>
        <v/>
      </c>
      <c r="F299" s="5">
        <f>IF(ISNUMBER(E299),A299,"")</f>
        <v/>
      </c>
      <c r="G299" s="5">
        <f>IF(AND(ISNUMBER(E299),ISNUMBER($K$4)),E299-($K$7+$K$4*A299),"")</f>
        <v/>
      </c>
    </row>
    <row r="300">
      <c r="A300" s="4" t="n"/>
      <c r="B300" s="4" t="n"/>
      <c r="C300" s="5">
        <f>IF(AND(ISNUMBER(A300),ISNUMBER(B300),ISNUMBER($K$2),ISNUMBER($K$3),$K$3&gt;$K$2),(B300-$K$2)/($K$3-$K$2),"")</f>
        <v/>
      </c>
      <c r="D300" s="5">
        <f>IF(ISNUMBER(C300),IF(B300&lt;$K$3,LN(($K$3-$K$2)/($K$3-B300)),""),"")</f>
        <v/>
      </c>
      <c r="E300" s="5">
        <f>IF(AND(ISNUMBER(C300),ISNUMBER(D300),C300&gt;=0.2,C300&lt;=0.8),D300,"")</f>
        <v/>
      </c>
      <c r="F300" s="5">
        <f>IF(ISNUMBER(E300),A300,"")</f>
        <v/>
      </c>
      <c r="G300" s="5">
        <f>IF(AND(ISNUMBER(E300),ISNUMBER($K$4)),E300-($K$7+$K$4*A300),"")</f>
        <v/>
      </c>
    </row>
    <row r="301">
      <c r="A301" s="4" t="n"/>
      <c r="B301" s="4" t="n"/>
      <c r="C301" s="5">
        <f>IF(AND(ISNUMBER(A301),ISNUMBER(B301),ISNUMBER($K$2),ISNUMBER($K$3),$K$3&gt;$K$2),(B301-$K$2)/($K$3-$K$2),"")</f>
        <v/>
      </c>
      <c r="D301" s="5">
        <f>IF(ISNUMBER(C301),IF(B301&lt;$K$3,LN(($K$3-$K$2)/($K$3-B301)),""),"")</f>
        <v/>
      </c>
      <c r="E301" s="5">
        <f>IF(AND(ISNUMBER(C301),ISNUMBER(D301),C301&gt;=0.2,C301&lt;=0.8),D301,"")</f>
        <v/>
      </c>
      <c r="F301" s="5">
        <f>IF(ISNUMBER(E301),A301,"")</f>
        <v/>
      </c>
      <c r="G301" s="5">
        <f>IF(AND(ISNUMBER(E301),ISNUMBER($K$4)),E301-($K$7+$K$4*A301),"")</f>
        <v/>
      </c>
    </row>
    <row r="302">
      <c r="A302" s="4" t="n"/>
      <c r="B302" s="4" t="n"/>
      <c r="C302" s="5">
        <f>IF(AND(ISNUMBER(A302),ISNUMBER(B302),ISNUMBER($K$2),ISNUMBER($K$3),$K$3&gt;$K$2),(B302-$K$2)/($K$3-$K$2),"")</f>
        <v/>
      </c>
      <c r="D302" s="5">
        <f>IF(ISNUMBER(C302),IF(B302&lt;$K$3,LN(($K$3-$K$2)/($K$3-B302)),""),"")</f>
        <v/>
      </c>
      <c r="E302" s="5">
        <f>IF(AND(ISNUMBER(C302),ISNUMBER(D302),C302&gt;=0.2,C302&lt;=0.8),D302,"")</f>
        <v/>
      </c>
      <c r="F302" s="5">
        <f>IF(ISNUMBER(E302),A302,"")</f>
        <v/>
      </c>
      <c r="G302" s="5">
        <f>IF(AND(ISNUMBER(E302),ISNUMBER($K$4)),E302-($K$7+$K$4*A302),"")</f>
        <v/>
      </c>
    </row>
    <row r="303">
      <c r="A303" s="4" t="n"/>
      <c r="B303" s="4" t="n"/>
      <c r="C303" s="5">
        <f>IF(AND(ISNUMBER(A303),ISNUMBER(B303),ISNUMBER($K$2),ISNUMBER($K$3),$K$3&gt;$K$2),(B303-$K$2)/($K$3-$K$2),"")</f>
        <v/>
      </c>
      <c r="D303" s="5">
        <f>IF(ISNUMBER(C303),IF(B303&lt;$K$3,LN(($K$3-$K$2)/($K$3-B303)),""),"")</f>
        <v/>
      </c>
      <c r="E303" s="5">
        <f>IF(AND(ISNUMBER(C303),ISNUMBER(D303),C303&gt;=0.2,C303&lt;=0.8),D303,"")</f>
        <v/>
      </c>
      <c r="F303" s="5">
        <f>IF(ISNUMBER(E303),A303,"")</f>
        <v/>
      </c>
      <c r="G303" s="5">
        <f>IF(AND(ISNUMBER(E303),ISNUMBER($K$4)),E303-($K$7+$K$4*A303),"")</f>
        <v/>
      </c>
    </row>
    <row r="304">
      <c r="A304" s="4" t="n"/>
      <c r="B304" s="4" t="n"/>
      <c r="C304" s="5">
        <f>IF(AND(ISNUMBER(A304),ISNUMBER(B304),ISNUMBER($K$2),ISNUMBER($K$3),$K$3&gt;$K$2),(B304-$K$2)/($K$3-$K$2),"")</f>
        <v/>
      </c>
      <c r="D304" s="5">
        <f>IF(ISNUMBER(C304),IF(B304&lt;$K$3,LN(($K$3-$K$2)/($K$3-B304)),""),"")</f>
        <v/>
      </c>
      <c r="E304" s="5">
        <f>IF(AND(ISNUMBER(C304),ISNUMBER(D304),C304&gt;=0.2,C304&lt;=0.8),D304,"")</f>
        <v/>
      </c>
      <c r="F304" s="5">
        <f>IF(ISNUMBER(E304),A304,"")</f>
        <v/>
      </c>
      <c r="G304" s="5">
        <f>IF(AND(ISNUMBER(E304),ISNUMBER($K$4)),E304-($K$7+$K$4*A304),"")</f>
        <v/>
      </c>
    </row>
    <row r="305">
      <c r="A305" s="4" t="n"/>
      <c r="B305" s="4" t="n"/>
      <c r="C305" s="5">
        <f>IF(AND(ISNUMBER(A305),ISNUMBER(B305),ISNUMBER($K$2),ISNUMBER($K$3),$K$3&gt;$K$2),(B305-$K$2)/($K$3-$K$2),"")</f>
        <v/>
      </c>
      <c r="D305" s="5">
        <f>IF(ISNUMBER(C305),IF(B305&lt;$K$3,LN(($K$3-$K$2)/($K$3-B305)),""),"")</f>
        <v/>
      </c>
      <c r="E305" s="5">
        <f>IF(AND(ISNUMBER(C305),ISNUMBER(D305),C305&gt;=0.2,C305&lt;=0.8),D305,"")</f>
        <v/>
      </c>
      <c r="F305" s="5">
        <f>IF(ISNUMBER(E305),A305,"")</f>
        <v/>
      </c>
      <c r="G305" s="5">
        <f>IF(AND(ISNUMBER(E305),ISNUMBER($K$4)),E305-($K$7+$K$4*A305),"")</f>
        <v/>
      </c>
    </row>
    <row r="306">
      <c r="A306" s="4" t="n"/>
      <c r="B306" s="4" t="n"/>
      <c r="C306" s="5">
        <f>IF(AND(ISNUMBER(A306),ISNUMBER(B306),ISNUMBER($K$2),ISNUMBER($K$3),$K$3&gt;$K$2),(B306-$K$2)/($K$3-$K$2),"")</f>
        <v/>
      </c>
      <c r="D306" s="5">
        <f>IF(ISNUMBER(C306),IF(B306&lt;$K$3,LN(($K$3-$K$2)/($K$3-B306)),""),"")</f>
        <v/>
      </c>
      <c r="E306" s="5">
        <f>IF(AND(ISNUMBER(C306),ISNUMBER(D306),C306&gt;=0.2,C306&lt;=0.8),D306,"")</f>
        <v/>
      </c>
      <c r="F306" s="5">
        <f>IF(ISNUMBER(E306),A306,"")</f>
        <v/>
      </c>
      <c r="G306" s="5">
        <f>IF(AND(ISNUMBER(E306),ISNUMBER($K$4)),E306-($K$7+$K$4*A306),"")</f>
        <v/>
      </c>
    </row>
    <row r="307">
      <c r="A307" s="4" t="n"/>
      <c r="B307" s="4" t="n"/>
      <c r="C307" s="5">
        <f>IF(AND(ISNUMBER(A307),ISNUMBER(B307),ISNUMBER($K$2),ISNUMBER($K$3),$K$3&gt;$K$2),(B307-$K$2)/($K$3-$K$2),"")</f>
        <v/>
      </c>
      <c r="D307" s="5">
        <f>IF(ISNUMBER(C307),IF(B307&lt;$K$3,LN(($K$3-$K$2)/($K$3-B307)),""),"")</f>
        <v/>
      </c>
      <c r="E307" s="5">
        <f>IF(AND(ISNUMBER(C307),ISNUMBER(D307),C307&gt;=0.2,C307&lt;=0.8),D307,"")</f>
        <v/>
      </c>
      <c r="F307" s="5">
        <f>IF(ISNUMBER(E307),A307,"")</f>
        <v/>
      </c>
      <c r="G307" s="5">
        <f>IF(AND(ISNUMBER(E307),ISNUMBER($K$4)),E307-($K$7+$K$4*A307),"")</f>
        <v/>
      </c>
    </row>
    <row r="308">
      <c r="A308" s="4" t="n"/>
      <c r="B308" s="4" t="n"/>
      <c r="C308" s="5">
        <f>IF(AND(ISNUMBER(A308),ISNUMBER(B308),ISNUMBER($K$2),ISNUMBER($K$3),$K$3&gt;$K$2),(B308-$K$2)/($K$3-$K$2),"")</f>
        <v/>
      </c>
      <c r="D308" s="5">
        <f>IF(ISNUMBER(C308),IF(B308&lt;$K$3,LN(($K$3-$K$2)/($K$3-B308)),""),"")</f>
        <v/>
      </c>
      <c r="E308" s="5">
        <f>IF(AND(ISNUMBER(C308),ISNUMBER(D308),C308&gt;=0.2,C308&lt;=0.8),D308,"")</f>
        <v/>
      </c>
      <c r="F308" s="5">
        <f>IF(ISNUMBER(E308),A308,"")</f>
        <v/>
      </c>
      <c r="G308" s="5">
        <f>IF(AND(ISNUMBER(E308),ISNUMBER($K$4)),E308-($K$7+$K$4*A308),"")</f>
        <v/>
      </c>
    </row>
  </sheetData>
  <autoFilter ref="A8:G308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4" customWidth="1" min="10" max="10"/>
    <col width="18" customWidth="1" min="11" max="11"/>
  </cols>
  <sheetData>
    <row r="1">
      <c r="A1" t="inlineStr">
        <is>
          <t>Reoxigenación a 800 rpm</t>
        </is>
      </c>
      <c r="J1" t="inlineStr">
        <is>
          <t>RPM</t>
        </is>
      </c>
      <c r="K1" t="n">
        <v>800</v>
      </c>
    </row>
    <row r="2">
      <c r="A2" t="inlineStr">
        <is>
          <t>Volumen: 30 L de agua</t>
        </is>
      </c>
      <c r="J2" t="inlineStr">
        <is>
          <t>y₀ (entrada)</t>
        </is>
      </c>
      <c r="K2" s="4" t="n"/>
    </row>
    <row r="3">
      <c r="A3" t="inlineStr">
        <is>
          <t>Aire: 15 L/min = 0.5 vvm</t>
        </is>
      </c>
      <c r="J3" t="inlineStr">
        <is>
          <t>y∞ (entrada)</t>
        </is>
      </c>
      <c r="K3" s="4" t="n"/>
    </row>
    <row r="4">
      <c r="A4" t="inlineStr">
        <is>
          <t>Archivo / equipo:</t>
        </is>
      </c>
      <c r="B4" s="4" t="n"/>
      <c r="J4" t="inlineStr">
        <is>
          <t>Pendiente [s⁻¹]</t>
        </is>
      </c>
      <c r="K4">
        <f>IF(AND(K8&gt;=3,ISNUMBER(K2),ISNUMBER(K3),K3&gt;K2),IFERROR(SLOPE(E9:E308,F9:F308),""),"")</f>
        <v/>
      </c>
    </row>
    <row r="5">
      <c r="A5" t="inlineStr">
        <is>
          <t>Temperatura [°C]:</t>
        </is>
      </c>
      <c r="B5" s="4" t="n"/>
      <c r="J5" t="inlineStr">
        <is>
          <t>kLa [h⁻¹]</t>
        </is>
      </c>
      <c r="K5">
        <f>IF(ISNUMBER(K4),K4*3600,"")</f>
        <v/>
      </c>
    </row>
    <row r="6">
      <c r="A6" t="inlineStr">
        <is>
          <t>Intervalos de mesetas:</t>
        </is>
      </c>
      <c r="B6" s="4" t="n"/>
      <c r="J6" t="inlineStr">
        <is>
          <t>R²</t>
        </is>
      </c>
      <c r="K6">
        <f>IF(ISNUMBER(K4),IFERROR(RSQ(E9:E308,F9:F308),""),"")</f>
        <v/>
      </c>
    </row>
    <row r="7">
      <c r="J7" t="inlineStr">
        <is>
          <t>Intercepto</t>
        </is>
      </c>
      <c r="K7">
        <f>IF(ISNUMBER(K4),IFERROR(INTERCEPT(E9:E308,F9:F308),""),"")</f>
        <v/>
      </c>
    </row>
    <row r="8">
      <c r="A8" s="1" t="inlineStr">
        <is>
          <t>Tiempo [s]</t>
        </is>
      </c>
      <c r="B8" s="1" t="inlineStr">
        <is>
          <t>Oxígeno [%]</t>
        </is>
      </c>
      <c r="C8" s="1" t="inlineStr">
        <is>
          <t>Recorrido r</t>
        </is>
      </c>
      <c r="D8" s="1" t="inlineStr">
        <is>
          <t>Y</t>
        </is>
      </c>
      <c r="E8" s="1" t="inlineStr">
        <is>
          <t>Y seleccionado</t>
        </is>
      </c>
      <c r="F8" s="1" t="inlineStr">
        <is>
          <t>t seleccionado</t>
        </is>
      </c>
      <c r="G8" s="1" t="inlineStr">
        <is>
          <t>Residuo</t>
        </is>
      </c>
      <c r="J8" s="1" t="inlineStr">
        <is>
          <t>Puntos de ajuste</t>
        </is>
      </c>
      <c r="K8" s="1">
        <f>COUNT(E9:E308)</f>
        <v/>
      </c>
    </row>
    <row r="9">
      <c r="A9" s="4" t="n"/>
      <c r="B9" s="4" t="n"/>
      <c r="C9" s="5">
        <f>IF(AND(ISNUMBER(A9),ISNUMBER(B9),ISNUMBER($K$2),ISNUMBER($K$3),$K$3&gt;$K$2),(B9-$K$2)/($K$3-$K$2),"")</f>
        <v/>
      </c>
      <c r="D9" s="5">
        <f>IF(ISNUMBER(C9),IF(B9&lt;$K$3,LN(($K$3-$K$2)/($K$3-B9)),""),"")</f>
        <v/>
      </c>
      <c r="E9" s="5">
        <f>IF(AND(ISNUMBER(C9),ISNUMBER(D9),C9&gt;=0.2,C9&lt;=0.8),D9,"")</f>
        <v/>
      </c>
      <c r="F9" s="5">
        <f>IF(ISNUMBER(E9),A9,"")</f>
        <v/>
      </c>
      <c r="G9" s="5">
        <f>IF(AND(ISNUMBER(E9),ISNUMBER($K$4)),E9-($K$7+$K$4*A9),"")</f>
        <v/>
      </c>
    </row>
    <row r="10">
      <c r="A10" s="4" t="n"/>
      <c r="B10" s="4" t="n"/>
      <c r="C10" s="5">
        <f>IF(AND(ISNUMBER(A10),ISNUMBER(B10),ISNUMBER($K$2),ISNUMBER($K$3),$K$3&gt;$K$2),(B10-$K$2)/($K$3-$K$2),"")</f>
        <v/>
      </c>
      <c r="D10" s="5">
        <f>IF(ISNUMBER(C10),IF(B10&lt;$K$3,LN(($K$3-$K$2)/($K$3-B10)),""),"")</f>
        <v/>
      </c>
      <c r="E10" s="5">
        <f>IF(AND(ISNUMBER(C10),ISNUMBER(D10),C10&gt;=0.2,C10&lt;=0.8),D10,"")</f>
        <v/>
      </c>
      <c r="F10" s="5">
        <f>IF(ISNUMBER(E10),A10,"")</f>
        <v/>
      </c>
      <c r="G10" s="5">
        <f>IF(AND(ISNUMBER(E10),ISNUMBER($K$4)),E10-($K$7+$K$4*A10),"")</f>
        <v/>
      </c>
    </row>
    <row r="11">
      <c r="A11" s="4" t="n"/>
      <c r="B11" s="4" t="n"/>
      <c r="C11" s="5">
        <f>IF(AND(ISNUMBER(A11),ISNUMBER(B11),ISNUMBER($K$2),ISNUMBER($K$3),$K$3&gt;$K$2),(B11-$K$2)/($K$3-$K$2),"")</f>
        <v/>
      </c>
      <c r="D11" s="5">
        <f>IF(ISNUMBER(C11),IF(B11&lt;$K$3,LN(($K$3-$K$2)/($K$3-B11)),""),"")</f>
        <v/>
      </c>
      <c r="E11" s="5">
        <f>IF(AND(ISNUMBER(C11),ISNUMBER(D11),C11&gt;=0.2,C11&lt;=0.8),D11,"")</f>
        <v/>
      </c>
      <c r="F11" s="5">
        <f>IF(ISNUMBER(E11),A11,"")</f>
        <v/>
      </c>
      <c r="G11" s="5">
        <f>IF(AND(ISNUMBER(E11),ISNUMBER($K$4)),E11-($K$7+$K$4*A11),"")</f>
        <v/>
      </c>
    </row>
    <row r="12">
      <c r="A12" s="4" t="n"/>
      <c r="B12" s="4" t="n"/>
      <c r="C12" s="5">
        <f>IF(AND(ISNUMBER(A12),ISNUMBER(B12),ISNUMBER($K$2),ISNUMBER($K$3),$K$3&gt;$K$2),(B12-$K$2)/($K$3-$K$2),"")</f>
        <v/>
      </c>
      <c r="D12" s="5">
        <f>IF(ISNUMBER(C12),IF(B12&lt;$K$3,LN(($K$3-$K$2)/($K$3-B12)),""),"")</f>
        <v/>
      </c>
      <c r="E12" s="5">
        <f>IF(AND(ISNUMBER(C12),ISNUMBER(D12),C12&gt;=0.2,C12&lt;=0.8),D12,"")</f>
        <v/>
      </c>
      <c r="F12" s="5">
        <f>IF(ISNUMBER(E12),A12,"")</f>
        <v/>
      </c>
      <c r="G12" s="5">
        <f>IF(AND(ISNUMBER(E12),ISNUMBER($K$4)),E12-($K$7+$K$4*A12),"")</f>
        <v/>
      </c>
    </row>
    <row r="13">
      <c r="A13" s="4" t="n"/>
      <c r="B13" s="4" t="n"/>
      <c r="C13" s="5">
        <f>IF(AND(ISNUMBER(A13),ISNUMBER(B13),ISNUMBER($K$2),ISNUMBER($K$3),$K$3&gt;$K$2),(B13-$K$2)/($K$3-$K$2),"")</f>
        <v/>
      </c>
      <c r="D13" s="5">
        <f>IF(ISNUMBER(C13),IF(B13&lt;$K$3,LN(($K$3-$K$2)/($K$3-B13)),""),"")</f>
        <v/>
      </c>
      <c r="E13" s="5">
        <f>IF(AND(ISNUMBER(C13),ISNUMBER(D13),C13&gt;=0.2,C13&lt;=0.8),D13,"")</f>
        <v/>
      </c>
      <c r="F13" s="5">
        <f>IF(ISNUMBER(E13),A13,"")</f>
        <v/>
      </c>
      <c r="G13" s="5">
        <f>IF(AND(ISNUMBER(E13),ISNUMBER($K$4)),E13-($K$7+$K$4*A13),"")</f>
        <v/>
      </c>
    </row>
    <row r="14">
      <c r="A14" s="4" t="n"/>
      <c r="B14" s="4" t="n"/>
      <c r="C14" s="5">
        <f>IF(AND(ISNUMBER(A14),ISNUMBER(B14),ISNUMBER($K$2),ISNUMBER($K$3),$K$3&gt;$K$2),(B14-$K$2)/($K$3-$K$2),"")</f>
        <v/>
      </c>
      <c r="D14" s="5">
        <f>IF(ISNUMBER(C14),IF(B14&lt;$K$3,LN(($K$3-$K$2)/($K$3-B14)),""),"")</f>
        <v/>
      </c>
      <c r="E14" s="5">
        <f>IF(AND(ISNUMBER(C14),ISNUMBER(D14),C14&gt;=0.2,C14&lt;=0.8),D14,"")</f>
        <v/>
      </c>
      <c r="F14" s="5">
        <f>IF(ISNUMBER(E14),A14,"")</f>
        <v/>
      </c>
      <c r="G14" s="5">
        <f>IF(AND(ISNUMBER(E14),ISNUMBER($K$4)),E14-($K$7+$K$4*A14),"")</f>
        <v/>
      </c>
    </row>
    <row r="15">
      <c r="A15" s="4" t="n"/>
      <c r="B15" s="4" t="n"/>
      <c r="C15" s="5">
        <f>IF(AND(ISNUMBER(A15),ISNUMBER(B15),ISNUMBER($K$2),ISNUMBER($K$3),$K$3&gt;$K$2),(B15-$K$2)/($K$3-$K$2),"")</f>
        <v/>
      </c>
      <c r="D15" s="5">
        <f>IF(ISNUMBER(C15),IF(B15&lt;$K$3,LN(($K$3-$K$2)/($K$3-B15)),""),"")</f>
        <v/>
      </c>
      <c r="E15" s="5">
        <f>IF(AND(ISNUMBER(C15),ISNUMBER(D15),C15&gt;=0.2,C15&lt;=0.8),D15,"")</f>
        <v/>
      </c>
      <c r="F15" s="5">
        <f>IF(ISNUMBER(E15),A15,"")</f>
        <v/>
      </c>
      <c r="G15" s="5">
        <f>IF(AND(ISNUMBER(E15),ISNUMBER($K$4)),E15-($K$7+$K$4*A15),"")</f>
        <v/>
      </c>
    </row>
    <row r="16">
      <c r="A16" s="4" t="n"/>
      <c r="B16" s="4" t="n"/>
      <c r="C16" s="5">
        <f>IF(AND(ISNUMBER(A16),ISNUMBER(B16),ISNUMBER($K$2),ISNUMBER($K$3),$K$3&gt;$K$2),(B16-$K$2)/($K$3-$K$2),"")</f>
        <v/>
      </c>
      <c r="D16" s="5">
        <f>IF(ISNUMBER(C16),IF(B16&lt;$K$3,LN(($K$3-$K$2)/($K$3-B16)),""),"")</f>
        <v/>
      </c>
      <c r="E16" s="5">
        <f>IF(AND(ISNUMBER(C16),ISNUMBER(D16),C16&gt;=0.2,C16&lt;=0.8),D16,"")</f>
        <v/>
      </c>
      <c r="F16" s="5">
        <f>IF(ISNUMBER(E16),A16,"")</f>
        <v/>
      </c>
      <c r="G16" s="5">
        <f>IF(AND(ISNUMBER(E16),ISNUMBER($K$4)),E16-($K$7+$K$4*A16),"")</f>
        <v/>
      </c>
    </row>
    <row r="17">
      <c r="A17" s="4" t="n"/>
      <c r="B17" s="4" t="n"/>
      <c r="C17" s="5">
        <f>IF(AND(ISNUMBER(A17),ISNUMBER(B17),ISNUMBER($K$2),ISNUMBER($K$3),$K$3&gt;$K$2),(B17-$K$2)/($K$3-$K$2),"")</f>
        <v/>
      </c>
      <c r="D17" s="5">
        <f>IF(ISNUMBER(C17),IF(B17&lt;$K$3,LN(($K$3-$K$2)/($K$3-B17)),""),"")</f>
        <v/>
      </c>
      <c r="E17" s="5">
        <f>IF(AND(ISNUMBER(C17),ISNUMBER(D17),C17&gt;=0.2,C17&lt;=0.8),D17,"")</f>
        <v/>
      </c>
      <c r="F17" s="5">
        <f>IF(ISNUMBER(E17),A17,"")</f>
        <v/>
      </c>
      <c r="G17" s="5">
        <f>IF(AND(ISNUMBER(E17),ISNUMBER($K$4)),E17-($K$7+$K$4*A17),"")</f>
        <v/>
      </c>
    </row>
    <row r="18">
      <c r="A18" s="4" t="n"/>
      <c r="B18" s="4" t="n"/>
      <c r="C18" s="5">
        <f>IF(AND(ISNUMBER(A18),ISNUMBER(B18),ISNUMBER($K$2),ISNUMBER($K$3),$K$3&gt;$K$2),(B18-$K$2)/($K$3-$K$2),"")</f>
        <v/>
      </c>
      <c r="D18" s="5">
        <f>IF(ISNUMBER(C18),IF(B18&lt;$K$3,LN(($K$3-$K$2)/($K$3-B18)),""),"")</f>
        <v/>
      </c>
      <c r="E18" s="5">
        <f>IF(AND(ISNUMBER(C18),ISNUMBER(D18),C18&gt;=0.2,C18&lt;=0.8),D18,"")</f>
        <v/>
      </c>
      <c r="F18" s="5">
        <f>IF(ISNUMBER(E18),A18,"")</f>
        <v/>
      </c>
      <c r="G18" s="5">
        <f>IF(AND(ISNUMBER(E18),ISNUMBER($K$4)),E18-($K$7+$K$4*A18),"")</f>
        <v/>
      </c>
    </row>
    <row r="19">
      <c r="A19" s="4" t="n"/>
      <c r="B19" s="4" t="n"/>
      <c r="C19" s="5">
        <f>IF(AND(ISNUMBER(A19),ISNUMBER(B19),ISNUMBER($K$2),ISNUMBER($K$3),$K$3&gt;$K$2),(B19-$K$2)/($K$3-$K$2),"")</f>
        <v/>
      </c>
      <c r="D19" s="5">
        <f>IF(ISNUMBER(C19),IF(B19&lt;$K$3,LN(($K$3-$K$2)/($K$3-B19)),""),"")</f>
        <v/>
      </c>
      <c r="E19" s="5">
        <f>IF(AND(ISNUMBER(C19),ISNUMBER(D19),C19&gt;=0.2,C19&lt;=0.8),D19,"")</f>
        <v/>
      </c>
      <c r="F19" s="5">
        <f>IF(ISNUMBER(E19),A19,"")</f>
        <v/>
      </c>
      <c r="G19" s="5">
        <f>IF(AND(ISNUMBER(E19),ISNUMBER($K$4)),E19-($K$7+$K$4*A19),"")</f>
        <v/>
      </c>
    </row>
    <row r="20">
      <c r="A20" s="4" t="n"/>
      <c r="B20" s="4" t="n"/>
      <c r="C20" s="5">
        <f>IF(AND(ISNUMBER(A20),ISNUMBER(B20),ISNUMBER($K$2),ISNUMBER($K$3),$K$3&gt;$K$2),(B20-$K$2)/($K$3-$K$2),"")</f>
        <v/>
      </c>
      <c r="D20" s="5">
        <f>IF(ISNUMBER(C20),IF(B20&lt;$K$3,LN(($K$3-$K$2)/($K$3-B20)),""),"")</f>
        <v/>
      </c>
      <c r="E20" s="5">
        <f>IF(AND(ISNUMBER(C20),ISNUMBER(D20),C20&gt;=0.2,C20&lt;=0.8),D20,"")</f>
        <v/>
      </c>
      <c r="F20" s="5">
        <f>IF(ISNUMBER(E20),A20,"")</f>
        <v/>
      </c>
      <c r="G20" s="5">
        <f>IF(AND(ISNUMBER(E20),ISNUMBER($K$4)),E20-($K$7+$K$4*A20),"")</f>
        <v/>
      </c>
    </row>
    <row r="21">
      <c r="A21" s="4" t="n"/>
      <c r="B21" s="4" t="n"/>
      <c r="C21" s="5">
        <f>IF(AND(ISNUMBER(A21),ISNUMBER(B21),ISNUMBER($K$2),ISNUMBER($K$3),$K$3&gt;$K$2),(B21-$K$2)/($K$3-$K$2),"")</f>
        <v/>
      </c>
      <c r="D21" s="5">
        <f>IF(ISNUMBER(C21),IF(B21&lt;$K$3,LN(($K$3-$K$2)/($K$3-B21)),""),"")</f>
        <v/>
      </c>
      <c r="E21" s="5">
        <f>IF(AND(ISNUMBER(C21),ISNUMBER(D21),C21&gt;=0.2,C21&lt;=0.8),D21,"")</f>
        <v/>
      </c>
      <c r="F21" s="5">
        <f>IF(ISNUMBER(E21),A21,"")</f>
        <v/>
      </c>
      <c r="G21" s="5">
        <f>IF(AND(ISNUMBER(E21),ISNUMBER($K$4)),E21-($K$7+$K$4*A21),"")</f>
        <v/>
      </c>
    </row>
    <row r="22">
      <c r="A22" s="4" t="n"/>
      <c r="B22" s="4" t="n"/>
      <c r="C22" s="5">
        <f>IF(AND(ISNUMBER(A22),ISNUMBER(B22),ISNUMBER($K$2),ISNUMBER($K$3),$K$3&gt;$K$2),(B22-$K$2)/($K$3-$K$2),"")</f>
        <v/>
      </c>
      <c r="D22" s="5">
        <f>IF(ISNUMBER(C22),IF(B22&lt;$K$3,LN(($K$3-$K$2)/($K$3-B22)),""),"")</f>
        <v/>
      </c>
      <c r="E22" s="5">
        <f>IF(AND(ISNUMBER(C22),ISNUMBER(D22),C22&gt;=0.2,C22&lt;=0.8),D22,"")</f>
        <v/>
      </c>
      <c r="F22" s="5">
        <f>IF(ISNUMBER(E22),A22,"")</f>
        <v/>
      </c>
      <c r="G22" s="5">
        <f>IF(AND(ISNUMBER(E22),ISNUMBER($K$4)),E22-($K$7+$K$4*A22),"")</f>
        <v/>
      </c>
    </row>
    <row r="23">
      <c r="A23" s="4" t="n"/>
      <c r="B23" s="4" t="n"/>
      <c r="C23" s="5">
        <f>IF(AND(ISNUMBER(A23),ISNUMBER(B23),ISNUMBER($K$2),ISNUMBER($K$3),$K$3&gt;$K$2),(B23-$K$2)/($K$3-$K$2),"")</f>
        <v/>
      </c>
      <c r="D23" s="5">
        <f>IF(ISNUMBER(C23),IF(B23&lt;$K$3,LN(($K$3-$K$2)/($K$3-B23)),""),"")</f>
        <v/>
      </c>
      <c r="E23" s="5">
        <f>IF(AND(ISNUMBER(C23),ISNUMBER(D23),C23&gt;=0.2,C23&lt;=0.8),D23,"")</f>
        <v/>
      </c>
      <c r="F23" s="5">
        <f>IF(ISNUMBER(E23),A23,"")</f>
        <v/>
      </c>
      <c r="G23" s="5">
        <f>IF(AND(ISNUMBER(E23),ISNUMBER($K$4)),E23-($K$7+$K$4*A23),"")</f>
        <v/>
      </c>
    </row>
    <row r="24">
      <c r="A24" s="4" t="n"/>
      <c r="B24" s="4" t="n"/>
      <c r="C24" s="5">
        <f>IF(AND(ISNUMBER(A24),ISNUMBER(B24),ISNUMBER($K$2),ISNUMBER($K$3),$K$3&gt;$K$2),(B24-$K$2)/($K$3-$K$2),"")</f>
        <v/>
      </c>
      <c r="D24" s="5">
        <f>IF(ISNUMBER(C24),IF(B24&lt;$K$3,LN(($K$3-$K$2)/($K$3-B24)),""),"")</f>
        <v/>
      </c>
      <c r="E24" s="5">
        <f>IF(AND(ISNUMBER(C24),ISNUMBER(D24),C24&gt;=0.2,C24&lt;=0.8),D24,"")</f>
        <v/>
      </c>
      <c r="F24" s="5">
        <f>IF(ISNUMBER(E24),A24,"")</f>
        <v/>
      </c>
      <c r="G24" s="5">
        <f>IF(AND(ISNUMBER(E24),ISNUMBER($K$4)),E24-($K$7+$K$4*A24),"")</f>
        <v/>
      </c>
    </row>
    <row r="25">
      <c r="A25" s="4" t="n"/>
      <c r="B25" s="4" t="n"/>
      <c r="C25" s="5">
        <f>IF(AND(ISNUMBER(A25),ISNUMBER(B25),ISNUMBER($K$2),ISNUMBER($K$3),$K$3&gt;$K$2),(B25-$K$2)/($K$3-$K$2),"")</f>
        <v/>
      </c>
      <c r="D25" s="5">
        <f>IF(ISNUMBER(C25),IF(B25&lt;$K$3,LN(($K$3-$K$2)/($K$3-B25)),""),"")</f>
        <v/>
      </c>
      <c r="E25" s="5">
        <f>IF(AND(ISNUMBER(C25),ISNUMBER(D25),C25&gt;=0.2,C25&lt;=0.8),D25,"")</f>
        <v/>
      </c>
      <c r="F25" s="5">
        <f>IF(ISNUMBER(E25),A25,"")</f>
        <v/>
      </c>
      <c r="G25" s="5">
        <f>IF(AND(ISNUMBER(E25),ISNUMBER($K$4)),E25-($K$7+$K$4*A25),"")</f>
        <v/>
      </c>
    </row>
    <row r="26">
      <c r="A26" s="4" t="n"/>
      <c r="B26" s="4" t="n"/>
      <c r="C26" s="5">
        <f>IF(AND(ISNUMBER(A26),ISNUMBER(B26),ISNUMBER($K$2),ISNUMBER($K$3),$K$3&gt;$K$2),(B26-$K$2)/($K$3-$K$2),"")</f>
        <v/>
      </c>
      <c r="D26" s="5">
        <f>IF(ISNUMBER(C26),IF(B26&lt;$K$3,LN(($K$3-$K$2)/($K$3-B26)),""),"")</f>
        <v/>
      </c>
      <c r="E26" s="5">
        <f>IF(AND(ISNUMBER(C26),ISNUMBER(D26),C26&gt;=0.2,C26&lt;=0.8),D26,"")</f>
        <v/>
      </c>
      <c r="F26" s="5">
        <f>IF(ISNUMBER(E26),A26,"")</f>
        <v/>
      </c>
      <c r="G26" s="5">
        <f>IF(AND(ISNUMBER(E26),ISNUMBER($K$4)),E26-($K$7+$K$4*A26),"")</f>
        <v/>
      </c>
    </row>
    <row r="27">
      <c r="A27" s="4" t="n"/>
      <c r="B27" s="4" t="n"/>
      <c r="C27" s="5">
        <f>IF(AND(ISNUMBER(A27),ISNUMBER(B27),ISNUMBER($K$2),ISNUMBER($K$3),$K$3&gt;$K$2),(B27-$K$2)/($K$3-$K$2),"")</f>
        <v/>
      </c>
      <c r="D27" s="5">
        <f>IF(ISNUMBER(C27),IF(B27&lt;$K$3,LN(($K$3-$K$2)/($K$3-B27)),""),"")</f>
        <v/>
      </c>
      <c r="E27" s="5">
        <f>IF(AND(ISNUMBER(C27),ISNUMBER(D27),C27&gt;=0.2,C27&lt;=0.8),D27,"")</f>
        <v/>
      </c>
      <c r="F27" s="5">
        <f>IF(ISNUMBER(E27),A27,"")</f>
        <v/>
      </c>
      <c r="G27" s="5">
        <f>IF(AND(ISNUMBER(E27),ISNUMBER($K$4)),E27-($K$7+$K$4*A27),"")</f>
        <v/>
      </c>
    </row>
    <row r="28">
      <c r="A28" s="4" t="n"/>
      <c r="B28" s="4" t="n"/>
      <c r="C28" s="5">
        <f>IF(AND(ISNUMBER(A28),ISNUMBER(B28),ISNUMBER($K$2),ISNUMBER($K$3),$K$3&gt;$K$2),(B28-$K$2)/($K$3-$K$2),"")</f>
        <v/>
      </c>
      <c r="D28" s="5">
        <f>IF(ISNUMBER(C28),IF(B28&lt;$K$3,LN(($K$3-$K$2)/($K$3-B28)),""),"")</f>
        <v/>
      </c>
      <c r="E28" s="5">
        <f>IF(AND(ISNUMBER(C28),ISNUMBER(D28),C28&gt;=0.2,C28&lt;=0.8),D28,"")</f>
        <v/>
      </c>
      <c r="F28" s="5">
        <f>IF(ISNUMBER(E28),A28,"")</f>
        <v/>
      </c>
      <c r="G28" s="5">
        <f>IF(AND(ISNUMBER(E28),ISNUMBER($K$4)),E28-($K$7+$K$4*A28),"")</f>
        <v/>
      </c>
    </row>
    <row r="29">
      <c r="A29" s="4" t="n"/>
      <c r="B29" s="4" t="n"/>
      <c r="C29" s="5">
        <f>IF(AND(ISNUMBER(A29),ISNUMBER(B29),ISNUMBER($K$2),ISNUMBER($K$3),$K$3&gt;$K$2),(B29-$K$2)/($K$3-$K$2),"")</f>
        <v/>
      </c>
      <c r="D29" s="5">
        <f>IF(ISNUMBER(C29),IF(B29&lt;$K$3,LN(($K$3-$K$2)/($K$3-B29)),""),"")</f>
        <v/>
      </c>
      <c r="E29" s="5">
        <f>IF(AND(ISNUMBER(C29),ISNUMBER(D29),C29&gt;=0.2,C29&lt;=0.8),D29,"")</f>
        <v/>
      </c>
      <c r="F29" s="5">
        <f>IF(ISNUMBER(E29),A29,"")</f>
        <v/>
      </c>
      <c r="G29" s="5">
        <f>IF(AND(ISNUMBER(E29),ISNUMBER($K$4)),E29-($K$7+$K$4*A29),"")</f>
        <v/>
      </c>
    </row>
    <row r="30">
      <c r="A30" s="4" t="n"/>
      <c r="B30" s="4" t="n"/>
      <c r="C30" s="5">
        <f>IF(AND(ISNUMBER(A30),ISNUMBER(B30),ISNUMBER($K$2),ISNUMBER($K$3),$K$3&gt;$K$2),(B30-$K$2)/($K$3-$K$2),"")</f>
        <v/>
      </c>
      <c r="D30" s="5">
        <f>IF(ISNUMBER(C30),IF(B30&lt;$K$3,LN(($K$3-$K$2)/($K$3-B30)),""),"")</f>
        <v/>
      </c>
      <c r="E30" s="5">
        <f>IF(AND(ISNUMBER(C30),ISNUMBER(D30),C30&gt;=0.2,C30&lt;=0.8),D30,"")</f>
        <v/>
      </c>
      <c r="F30" s="5">
        <f>IF(ISNUMBER(E30),A30,"")</f>
        <v/>
      </c>
      <c r="G30" s="5">
        <f>IF(AND(ISNUMBER(E30),ISNUMBER($K$4)),E30-($K$7+$K$4*A30),"")</f>
        <v/>
      </c>
    </row>
    <row r="31">
      <c r="A31" s="4" t="n"/>
      <c r="B31" s="4" t="n"/>
      <c r="C31" s="5">
        <f>IF(AND(ISNUMBER(A31),ISNUMBER(B31),ISNUMBER($K$2),ISNUMBER($K$3),$K$3&gt;$K$2),(B31-$K$2)/($K$3-$K$2),"")</f>
        <v/>
      </c>
      <c r="D31" s="5">
        <f>IF(ISNUMBER(C31),IF(B31&lt;$K$3,LN(($K$3-$K$2)/($K$3-B31)),""),"")</f>
        <v/>
      </c>
      <c r="E31" s="5">
        <f>IF(AND(ISNUMBER(C31),ISNUMBER(D31),C31&gt;=0.2,C31&lt;=0.8),D31,"")</f>
        <v/>
      </c>
      <c r="F31" s="5">
        <f>IF(ISNUMBER(E31),A31,"")</f>
        <v/>
      </c>
      <c r="G31" s="5">
        <f>IF(AND(ISNUMBER(E31),ISNUMBER($K$4)),E31-($K$7+$K$4*A31),"")</f>
        <v/>
      </c>
    </row>
    <row r="32">
      <c r="A32" s="4" t="n"/>
      <c r="B32" s="4" t="n"/>
      <c r="C32" s="5">
        <f>IF(AND(ISNUMBER(A32),ISNUMBER(B32),ISNUMBER($K$2),ISNUMBER($K$3),$K$3&gt;$K$2),(B32-$K$2)/($K$3-$K$2),"")</f>
        <v/>
      </c>
      <c r="D32" s="5">
        <f>IF(ISNUMBER(C32),IF(B32&lt;$K$3,LN(($K$3-$K$2)/($K$3-B32)),""),"")</f>
        <v/>
      </c>
      <c r="E32" s="5">
        <f>IF(AND(ISNUMBER(C32),ISNUMBER(D32),C32&gt;=0.2,C32&lt;=0.8),D32,"")</f>
        <v/>
      </c>
      <c r="F32" s="5">
        <f>IF(ISNUMBER(E32),A32,"")</f>
        <v/>
      </c>
      <c r="G32" s="5">
        <f>IF(AND(ISNUMBER(E32),ISNUMBER($K$4)),E32-($K$7+$K$4*A32),"")</f>
        <v/>
      </c>
    </row>
    <row r="33">
      <c r="A33" s="4" t="n"/>
      <c r="B33" s="4" t="n"/>
      <c r="C33" s="5">
        <f>IF(AND(ISNUMBER(A33),ISNUMBER(B33),ISNUMBER($K$2),ISNUMBER($K$3),$K$3&gt;$K$2),(B33-$K$2)/($K$3-$K$2),"")</f>
        <v/>
      </c>
      <c r="D33" s="5">
        <f>IF(ISNUMBER(C33),IF(B33&lt;$K$3,LN(($K$3-$K$2)/($K$3-B33)),""),"")</f>
        <v/>
      </c>
      <c r="E33" s="5">
        <f>IF(AND(ISNUMBER(C33),ISNUMBER(D33),C33&gt;=0.2,C33&lt;=0.8),D33,"")</f>
        <v/>
      </c>
      <c r="F33" s="5">
        <f>IF(ISNUMBER(E33),A33,"")</f>
        <v/>
      </c>
      <c r="G33" s="5">
        <f>IF(AND(ISNUMBER(E33),ISNUMBER($K$4)),E33-($K$7+$K$4*A33),"")</f>
        <v/>
      </c>
    </row>
    <row r="34">
      <c r="A34" s="4" t="n"/>
      <c r="B34" s="4" t="n"/>
      <c r="C34" s="5">
        <f>IF(AND(ISNUMBER(A34),ISNUMBER(B34),ISNUMBER($K$2),ISNUMBER($K$3),$K$3&gt;$K$2),(B34-$K$2)/($K$3-$K$2),"")</f>
        <v/>
      </c>
      <c r="D34" s="5">
        <f>IF(ISNUMBER(C34),IF(B34&lt;$K$3,LN(($K$3-$K$2)/($K$3-B34)),""),"")</f>
        <v/>
      </c>
      <c r="E34" s="5">
        <f>IF(AND(ISNUMBER(C34),ISNUMBER(D34),C34&gt;=0.2,C34&lt;=0.8),D34,"")</f>
        <v/>
      </c>
      <c r="F34" s="5">
        <f>IF(ISNUMBER(E34),A34,"")</f>
        <v/>
      </c>
      <c r="G34" s="5">
        <f>IF(AND(ISNUMBER(E34),ISNUMBER($K$4)),E34-($K$7+$K$4*A34),"")</f>
        <v/>
      </c>
    </row>
    <row r="35">
      <c r="A35" s="4" t="n"/>
      <c r="B35" s="4" t="n"/>
      <c r="C35" s="5">
        <f>IF(AND(ISNUMBER(A35),ISNUMBER(B35),ISNUMBER($K$2),ISNUMBER($K$3),$K$3&gt;$K$2),(B35-$K$2)/($K$3-$K$2),"")</f>
        <v/>
      </c>
      <c r="D35" s="5">
        <f>IF(ISNUMBER(C35),IF(B35&lt;$K$3,LN(($K$3-$K$2)/($K$3-B35)),""),"")</f>
        <v/>
      </c>
      <c r="E35" s="5">
        <f>IF(AND(ISNUMBER(C35),ISNUMBER(D35),C35&gt;=0.2,C35&lt;=0.8),D35,"")</f>
        <v/>
      </c>
      <c r="F35" s="5">
        <f>IF(ISNUMBER(E35),A35,"")</f>
        <v/>
      </c>
      <c r="G35" s="5">
        <f>IF(AND(ISNUMBER(E35),ISNUMBER($K$4)),E35-($K$7+$K$4*A35),"")</f>
        <v/>
      </c>
    </row>
    <row r="36">
      <c r="A36" s="4" t="n"/>
      <c r="B36" s="4" t="n"/>
      <c r="C36" s="5">
        <f>IF(AND(ISNUMBER(A36),ISNUMBER(B36),ISNUMBER($K$2),ISNUMBER($K$3),$K$3&gt;$K$2),(B36-$K$2)/($K$3-$K$2),"")</f>
        <v/>
      </c>
      <c r="D36" s="5">
        <f>IF(ISNUMBER(C36),IF(B36&lt;$K$3,LN(($K$3-$K$2)/($K$3-B36)),""),"")</f>
        <v/>
      </c>
      <c r="E36" s="5">
        <f>IF(AND(ISNUMBER(C36),ISNUMBER(D36),C36&gt;=0.2,C36&lt;=0.8),D36,"")</f>
        <v/>
      </c>
      <c r="F36" s="5">
        <f>IF(ISNUMBER(E36),A36,"")</f>
        <v/>
      </c>
      <c r="G36" s="5">
        <f>IF(AND(ISNUMBER(E36),ISNUMBER($K$4)),E36-($K$7+$K$4*A36),"")</f>
        <v/>
      </c>
    </row>
    <row r="37">
      <c r="A37" s="4" t="n"/>
      <c r="B37" s="4" t="n"/>
      <c r="C37" s="5">
        <f>IF(AND(ISNUMBER(A37),ISNUMBER(B37),ISNUMBER($K$2),ISNUMBER($K$3),$K$3&gt;$K$2),(B37-$K$2)/($K$3-$K$2),"")</f>
        <v/>
      </c>
      <c r="D37" s="5">
        <f>IF(ISNUMBER(C37),IF(B37&lt;$K$3,LN(($K$3-$K$2)/($K$3-B37)),""),"")</f>
        <v/>
      </c>
      <c r="E37" s="5">
        <f>IF(AND(ISNUMBER(C37),ISNUMBER(D37),C37&gt;=0.2,C37&lt;=0.8),D37,"")</f>
        <v/>
      </c>
      <c r="F37" s="5">
        <f>IF(ISNUMBER(E37),A37,"")</f>
        <v/>
      </c>
      <c r="G37" s="5">
        <f>IF(AND(ISNUMBER(E37),ISNUMBER($K$4)),E37-($K$7+$K$4*A37),"")</f>
        <v/>
      </c>
    </row>
    <row r="38">
      <c r="A38" s="4" t="n"/>
      <c r="B38" s="4" t="n"/>
      <c r="C38" s="5">
        <f>IF(AND(ISNUMBER(A38),ISNUMBER(B38),ISNUMBER($K$2),ISNUMBER($K$3),$K$3&gt;$K$2),(B38-$K$2)/($K$3-$K$2),"")</f>
        <v/>
      </c>
      <c r="D38" s="5">
        <f>IF(ISNUMBER(C38),IF(B38&lt;$K$3,LN(($K$3-$K$2)/($K$3-B38)),""),"")</f>
        <v/>
      </c>
      <c r="E38" s="5">
        <f>IF(AND(ISNUMBER(C38),ISNUMBER(D38),C38&gt;=0.2,C38&lt;=0.8),D38,"")</f>
        <v/>
      </c>
      <c r="F38" s="5">
        <f>IF(ISNUMBER(E38),A38,"")</f>
        <v/>
      </c>
      <c r="G38" s="5">
        <f>IF(AND(ISNUMBER(E38),ISNUMBER($K$4)),E38-($K$7+$K$4*A38),"")</f>
        <v/>
      </c>
    </row>
    <row r="39">
      <c r="A39" s="4" t="n"/>
      <c r="B39" s="4" t="n"/>
      <c r="C39" s="5">
        <f>IF(AND(ISNUMBER(A39),ISNUMBER(B39),ISNUMBER($K$2),ISNUMBER($K$3),$K$3&gt;$K$2),(B39-$K$2)/($K$3-$K$2),"")</f>
        <v/>
      </c>
      <c r="D39" s="5">
        <f>IF(ISNUMBER(C39),IF(B39&lt;$K$3,LN(($K$3-$K$2)/($K$3-B39)),""),"")</f>
        <v/>
      </c>
      <c r="E39" s="5">
        <f>IF(AND(ISNUMBER(C39),ISNUMBER(D39),C39&gt;=0.2,C39&lt;=0.8),D39,"")</f>
        <v/>
      </c>
      <c r="F39" s="5">
        <f>IF(ISNUMBER(E39),A39,"")</f>
        <v/>
      </c>
      <c r="G39" s="5">
        <f>IF(AND(ISNUMBER(E39),ISNUMBER($K$4)),E39-($K$7+$K$4*A39),"")</f>
        <v/>
      </c>
    </row>
    <row r="40">
      <c r="A40" s="4" t="n"/>
      <c r="B40" s="4" t="n"/>
      <c r="C40" s="5">
        <f>IF(AND(ISNUMBER(A40),ISNUMBER(B40),ISNUMBER($K$2),ISNUMBER($K$3),$K$3&gt;$K$2),(B40-$K$2)/($K$3-$K$2),"")</f>
        <v/>
      </c>
      <c r="D40" s="5">
        <f>IF(ISNUMBER(C40),IF(B40&lt;$K$3,LN(($K$3-$K$2)/($K$3-B40)),""),"")</f>
        <v/>
      </c>
      <c r="E40" s="5">
        <f>IF(AND(ISNUMBER(C40),ISNUMBER(D40),C40&gt;=0.2,C40&lt;=0.8),D40,"")</f>
        <v/>
      </c>
      <c r="F40" s="5">
        <f>IF(ISNUMBER(E40),A40,"")</f>
        <v/>
      </c>
      <c r="G40" s="5">
        <f>IF(AND(ISNUMBER(E40),ISNUMBER($K$4)),E40-($K$7+$K$4*A40),"")</f>
        <v/>
      </c>
    </row>
    <row r="41">
      <c r="A41" s="4" t="n"/>
      <c r="B41" s="4" t="n"/>
      <c r="C41" s="5">
        <f>IF(AND(ISNUMBER(A41),ISNUMBER(B41),ISNUMBER($K$2),ISNUMBER($K$3),$K$3&gt;$K$2),(B41-$K$2)/($K$3-$K$2),"")</f>
        <v/>
      </c>
      <c r="D41" s="5">
        <f>IF(ISNUMBER(C41),IF(B41&lt;$K$3,LN(($K$3-$K$2)/($K$3-B41)),""),"")</f>
        <v/>
      </c>
      <c r="E41" s="5">
        <f>IF(AND(ISNUMBER(C41),ISNUMBER(D41),C41&gt;=0.2,C41&lt;=0.8),D41,"")</f>
        <v/>
      </c>
      <c r="F41" s="5">
        <f>IF(ISNUMBER(E41),A41,"")</f>
        <v/>
      </c>
      <c r="G41" s="5">
        <f>IF(AND(ISNUMBER(E41),ISNUMBER($K$4)),E41-($K$7+$K$4*A41),"")</f>
        <v/>
      </c>
    </row>
    <row r="42">
      <c r="A42" s="4" t="n"/>
      <c r="B42" s="4" t="n"/>
      <c r="C42" s="5">
        <f>IF(AND(ISNUMBER(A42),ISNUMBER(B42),ISNUMBER($K$2),ISNUMBER($K$3),$K$3&gt;$K$2),(B42-$K$2)/($K$3-$K$2),"")</f>
        <v/>
      </c>
      <c r="D42" s="5">
        <f>IF(ISNUMBER(C42),IF(B42&lt;$K$3,LN(($K$3-$K$2)/($K$3-B42)),""),"")</f>
        <v/>
      </c>
      <c r="E42" s="5">
        <f>IF(AND(ISNUMBER(C42),ISNUMBER(D42),C42&gt;=0.2,C42&lt;=0.8),D42,"")</f>
        <v/>
      </c>
      <c r="F42" s="5">
        <f>IF(ISNUMBER(E42),A42,"")</f>
        <v/>
      </c>
      <c r="G42" s="5">
        <f>IF(AND(ISNUMBER(E42),ISNUMBER($K$4)),E42-($K$7+$K$4*A42),"")</f>
        <v/>
      </c>
    </row>
    <row r="43">
      <c r="A43" s="4" t="n"/>
      <c r="B43" s="4" t="n"/>
      <c r="C43" s="5">
        <f>IF(AND(ISNUMBER(A43),ISNUMBER(B43),ISNUMBER($K$2),ISNUMBER($K$3),$K$3&gt;$K$2),(B43-$K$2)/($K$3-$K$2),"")</f>
        <v/>
      </c>
      <c r="D43" s="5">
        <f>IF(ISNUMBER(C43),IF(B43&lt;$K$3,LN(($K$3-$K$2)/($K$3-B43)),""),"")</f>
        <v/>
      </c>
      <c r="E43" s="5">
        <f>IF(AND(ISNUMBER(C43),ISNUMBER(D43),C43&gt;=0.2,C43&lt;=0.8),D43,"")</f>
        <v/>
      </c>
      <c r="F43" s="5">
        <f>IF(ISNUMBER(E43),A43,"")</f>
        <v/>
      </c>
      <c r="G43" s="5">
        <f>IF(AND(ISNUMBER(E43),ISNUMBER($K$4)),E43-($K$7+$K$4*A43),"")</f>
        <v/>
      </c>
    </row>
    <row r="44">
      <c r="A44" s="4" t="n"/>
      <c r="B44" s="4" t="n"/>
      <c r="C44" s="5">
        <f>IF(AND(ISNUMBER(A44),ISNUMBER(B44),ISNUMBER($K$2),ISNUMBER($K$3),$K$3&gt;$K$2),(B44-$K$2)/($K$3-$K$2),"")</f>
        <v/>
      </c>
      <c r="D44" s="5">
        <f>IF(ISNUMBER(C44),IF(B44&lt;$K$3,LN(($K$3-$K$2)/($K$3-B44)),""),"")</f>
        <v/>
      </c>
      <c r="E44" s="5">
        <f>IF(AND(ISNUMBER(C44),ISNUMBER(D44),C44&gt;=0.2,C44&lt;=0.8),D44,"")</f>
        <v/>
      </c>
      <c r="F44" s="5">
        <f>IF(ISNUMBER(E44),A44,"")</f>
        <v/>
      </c>
      <c r="G44" s="5">
        <f>IF(AND(ISNUMBER(E44),ISNUMBER($K$4)),E44-($K$7+$K$4*A44),"")</f>
        <v/>
      </c>
    </row>
    <row r="45">
      <c r="A45" s="4" t="n"/>
      <c r="B45" s="4" t="n"/>
      <c r="C45" s="5">
        <f>IF(AND(ISNUMBER(A45),ISNUMBER(B45),ISNUMBER($K$2),ISNUMBER($K$3),$K$3&gt;$K$2),(B45-$K$2)/($K$3-$K$2),"")</f>
        <v/>
      </c>
      <c r="D45" s="5">
        <f>IF(ISNUMBER(C45),IF(B45&lt;$K$3,LN(($K$3-$K$2)/($K$3-B45)),""),"")</f>
        <v/>
      </c>
      <c r="E45" s="5">
        <f>IF(AND(ISNUMBER(C45),ISNUMBER(D45),C45&gt;=0.2,C45&lt;=0.8),D45,"")</f>
        <v/>
      </c>
      <c r="F45" s="5">
        <f>IF(ISNUMBER(E45),A45,"")</f>
        <v/>
      </c>
      <c r="G45" s="5">
        <f>IF(AND(ISNUMBER(E45),ISNUMBER($K$4)),E45-($K$7+$K$4*A45),"")</f>
        <v/>
      </c>
    </row>
    <row r="46">
      <c r="A46" s="4" t="n"/>
      <c r="B46" s="4" t="n"/>
      <c r="C46" s="5">
        <f>IF(AND(ISNUMBER(A46),ISNUMBER(B46),ISNUMBER($K$2),ISNUMBER($K$3),$K$3&gt;$K$2),(B46-$K$2)/($K$3-$K$2),"")</f>
        <v/>
      </c>
      <c r="D46" s="5">
        <f>IF(ISNUMBER(C46),IF(B46&lt;$K$3,LN(($K$3-$K$2)/($K$3-B46)),""),"")</f>
        <v/>
      </c>
      <c r="E46" s="5">
        <f>IF(AND(ISNUMBER(C46),ISNUMBER(D46),C46&gt;=0.2,C46&lt;=0.8),D46,"")</f>
        <v/>
      </c>
      <c r="F46" s="5">
        <f>IF(ISNUMBER(E46),A46,"")</f>
        <v/>
      </c>
      <c r="G46" s="5">
        <f>IF(AND(ISNUMBER(E46),ISNUMBER($K$4)),E46-($K$7+$K$4*A46),"")</f>
        <v/>
      </c>
    </row>
    <row r="47">
      <c r="A47" s="4" t="n"/>
      <c r="B47" s="4" t="n"/>
      <c r="C47" s="5">
        <f>IF(AND(ISNUMBER(A47),ISNUMBER(B47),ISNUMBER($K$2),ISNUMBER($K$3),$K$3&gt;$K$2),(B47-$K$2)/($K$3-$K$2),"")</f>
        <v/>
      </c>
      <c r="D47" s="5">
        <f>IF(ISNUMBER(C47),IF(B47&lt;$K$3,LN(($K$3-$K$2)/($K$3-B47)),""),"")</f>
        <v/>
      </c>
      <c r="E47" s="5">
        <f>IF(AND(ISNUMBER(C47),ISNUMBER(D47),C47&gt;=0.2,C47&lt;=0.8),D47,"")</f>
        <v/>
      </c>
      <c r="F47" s="5">
        <f>IF(ISNUMBER(E47),A47,"")</f>
        <v/>
      </c>
      <c r="G47" s="5">
        <f>IF(AND(ISNUMBER(E47),ISNUMBER($K$4)),E47-($K$7+$K$4*A47),"")</f>
        <v/>
      </c>
    </row>
    <row r="48">
      <c r="A48" s="4" t="n"/>
      <c r="B48" s="4" t="n"/>
      <c r="C48" s="5">
        <f>IF(AND(ISNUMBER(A48),ISNUMBER(B48),ISNUMBER($K$2),ISNUMBER($K$3),$K$3&gt;$K$2),(B48-$K$2)/($K$3-$K$2),"")</f>
        <v/>
      </c>
      <c r="D48" s="5">
        <f>IF(ISNUMBER(C48),IF(B48&lt;$K$3,LN(($K$3-$K$2)/($K$3-B48)),""),"")</f>
        <v/>
      </c>
      <c r="E48" s="5">
        <f>IF(AND(ISNUMBER(C48),ISNUMBER(D48),C48&gt;=0.2,C48&lt;=0.8),D48,"")</f>
        <v/>
      </c>
      <c r="F48" s="5">
        <f>IF(ISNUMBER(E48),A48,"")</f>
        <v/>
      </c>
      <c r="G48" s="5">
        <f>IF(AND(ISNUMBER(E48),ISNUMBER($K$4)),E48-($K$7+$K$4*A48),"")</f>
        <v/>
      </c>
    </row>
    <row r="49">
      <c r="A49" s="4" t="n"/>
      <c r="B49" s="4" t="n"/>
      <c r="C49" s="5">
        <f>IF(AND(ISNUMBER(A49),ISNUMBER(B49),ISNUMBER($K$2),ISNUMBER($K$3),$K$3&gt;$K$2),(B49-$K$2)/($K$3-$K$2),"")</f>
        <v/>
      </c>
      <c r="D49" s="5">
        <f>IF(ISNUMBER(C49),IF(B49&lt;$K$3,LN(($K$3-$K$2)/($K$3-B49)),""),"")</f>
        <v/>
      </c>
      <c r="E49" s="5">
        <f>IF(AND(ISNUMBER(C49),ISNUMBER(D49),C49&gt;=0.2,C49&lt;=0.8),D49,"")</f>
        <v/>
      </c>
      <c r="F49" s="5">
        <f>IF(ISNUMBER(E49),A49,"")</f>
        <v/>
      </c>
      <c r="G49" s="5">
        <f>IF(AND(ISNUMBER(E49),ISNUMBER($K$4)),E49-($K$7+$K$4*A49),"")</f>
        <v/>
      </c>
    </row>
    <row r="50">
      <c r="A50" s="4" t="n"/>
      <c r="B50" s="4" t="n"/>
      <c r="C50" s="5">
        <f>IF(AND(ISNUMBER(A50),ISNUMBER(B50),ISNUMBER($K$2),ISNUMBER($K$3),$K$3&gt;$K$2),(B50-$K$2)/($K$3-$K$2),"")</f>
        <v/>
      </c>
      <c r="D50" s="5">
        <f>IF(ISNUMBER(C50),IF(B50&lt;$K$3,LN(($K$3-$K$2)/($K$3-B50)),""),"")</f>
        <v/>
      </c>
      <c r="E50" s="5">
        <f>IF(AND(ISNUMBER(C50),ISNUMBER(D50),C50&gt;=0.2,C50&lt;=0.8),D50,"")</f>
        <v/>
      </c>
      <c r="F50" s="5">
        <f>IF(ISNUMBER(E50),A50,"")</f>
        <v/>
      </c>
      <c r="G50" s="5">
        <f>IF(AND(ISNUMBER(E50),ISNUMBER($K$4)),E50-($K$7+$K$4*A50),"")</f>
        <v/>
      </c>
    </row>
    <row r="51">
      <c r="A51" s="4" t="n"/>
      <c r="B51" s="4" t="n"/>
      <c r="C51" s="5">
        <f>IF(AND(ISNUMBER(A51),ISNUMBER(B51),ISNUMBER($K$2),ISNUMBER($K$3),$K$3&gt;$K$2),(B51-$K$2)/($K$3-$K$2),"")</f>
        <v/>
      </c>
      <c r="D51" s="5">
        <f>IF(ISNUMBER(C51),IF(B51&lt;$K$3,LN(($K$3-$K$2)/($K$3-B51)),""),"")</f>
        <v/>
      </c>
      <c r="E51" s="5">
        <f>IF(AND(ISNUMBER(C51),ISNUMBER(D51),C51&gt;=0.2,C51&lt;=0.8),D51,"")</f>
        <v/>
      </c>
      <c r="F51" s="5">
        <f>IF(ISNUMBER(E51),A51,"")</f>
        <v/>
      </c>
      <c r="G51" s="5">
        <f>IF(AND(ISNUMBER(E51),ISNUMBER($K$4)),E51-($K$7+$K$4*A51),"")</f>
        <v/>
      </c>
    </row>
    <row r="52">
      <c r="A52" s="4" t="n"/>
      <c r="B52" s="4" t="n"/>
      <c r="C52" s="5">
        <f>IF(AND(ISNUMBER(A52),ISNUMBER(B52),ISNUMBER($K$2),ISNUMBER($K$3),$K$3&gt;$K$2),(B52-$K$2)/($K$3-$K$2),"")</f>
        <v/>
      </c>
      <c r="D52" s="5">
        <f>IF(ISNUMBER(C52),IF(B52&lt;$K$3,LN(($K$3-$K$2)/($K$3-B52)),""),"")</f>
        <v/>
      </c>
      <c r="E52" s="5">
        <f>IF(AND(ISNUMBER(C52),ISNUMBER(D52),C52&gt;=0.2,C52&lt;=0.8),D52,"")</f>
        <v/>
      </c>
      <c r="F52" s="5">
        <f>IF(ISNUMBER(E52),A52,"")</f>
        <v/>
      </c>
      <c r="G52" s="5">
        <f>IF(AND(ISNUMBER(E52),ISNUMBER($K$4)),E52-($K$7+$K$4*A52),"")</f>
        <v/>
      </c>
    </row>
    <row r="53">
      <c r="A53" s="4" t="n"/>
      <c r="B53" s="4" t="n"/>
      <c r="C53" s="5">
        <f>IF(AND(ISNUMBER(A53),ISNUMBER(B53),ISNUMBER($K$2),ISNUMBER($K$3),$K$3&gt;$K$2),(B53-$K$2)/($K$3-$K$2),"")</f>
        <v/>
      </c>
      <c r="D53" s="5">
        <f>IF(ISNUMBER(C53),IF(B53&lt;$K$3,LN(($K$3-$K$2)/($K$3-B53)),""),"")</f>
        <v/>
      </c>
      <c r="E53" s="5">
        <f>IF(AND(ISNUMBER(C53),ISNUMBER(D53),C53&gt;=0.2,C53&lt;=0.8),D53,"")</f>
        <v/>
      </c>
      <c r="F53" s="5">
        <f>IF(ISNUMBER(E53),A53,"")</f>
        <v/>
      </c>
      <c r="G53" s="5">
        <f>IF(AND(ISNUMBER(E53),ISNUMBER($K$4)),E53-($K$7+$K$4*A53),"")</f>
        <v/>
      </c>
    </row>
    <row r="54">
      <c r="A54" s="4" t="n"/>
      <c r="B54" s="4" t="n"/>
      <c r="C54" s="5">
        <f>IF(AND(ISNUMBER(A54),ISNUMBER(B54),ISNUMBER($K$2),ISNUMBER($K$3),$K$3&gt;$K$2),(B54-$K$2)/($K$3-$K$2),"")</f>
        <v/>
      </c>
      <c r="D54" s="5">
        <f>IF(ISNUMBER(C54),IF(B54&lt;$K$3,LN(($K$3-$K$2)/($K$3-B54)),""),"")</f>
        <v/>
      </c>
      <c r="E54" s="5">
        <f>IF(AND(ISNUMBER(C54),ISNUMBER(D54),C54&gt;=0.2,C54&lt;=0.8),D54,"")</f>
        <v/>
      </c>
      <c r="F54" s="5">
        <f>IF(ISNUMBER(E54),A54,"")</f>
        <v/>
      </c>
      <c r="G54" s="5">
        <f>IF(AND(ISNUMBER(E54),ISNUMBER($K$4)),E54-($K$7+$K$4*A54),"")</f>
        <v/>
      </c>
    </row>
    <row r="55">
      <c r="A55" s="4" t="n"/>
      <c r="B55" s="4" t="n"/>
      <c r="C55" s="5">
        <f>IF(AND(ISNUMBER(A55),ISNUMBER(B55),ISNUMBER($K$2),ISNUMBER($K$3),$K$3&gt;$K$2),(B55-$K$2)/($K$3-$K$2),"")</f>
        <v/>
      </c>
      <c r="D55" s="5">
        <f>IF(ISNUMBER(C55),IF(B55&lt;$K$3,LN(($K$3-$K$2)/($K$3-B55)),""),"")</f>
        <v/>
      </c>
      <c r="E55" s="5">
        <f>IF(AND(ISNUMBER(C55),ISNUMBER(D55),C55&gt;=0.2,C55&lt;=0.8),D55,"")</f>
        <v/>
      </c>
      <c r="F55" s="5">
        <f>IF(ISNUMBER(E55),A55,"")</f>
        <v/>
      </c>
      <c r="G55" s="5">
        <f>IF(AND(ISNUMBER(E55),ISNUMBER($K$4)),E55-($K$7+$K$4*A55),"")</f>
        <v/>
      </c>
    </row>
    <row r="56">
      <c r="A56" s="4" t="n"/>
      <c r="B56" s="4" t="n"/>
      <c r="C56" s="5">
        <f>IF(AND(ISNUMBER(A56),ISNUMBER(B56),ISNUMBER($K$2),ISNUMBER($K$3),$K$3&gt;$K$2),(B56-$K$2)/($K$3-$K$2),"")</f>
        <v/>
      </c>
      <c r="D56" s="5">
        <f>IF(ISNUMBER(C56),IF(B56&lt;$K$3,LN(($K$3-$K$2)/($K$3-B56)),""),"")</f>
        <v/>
      </c>
      <c r="E56" s="5">
        <f>IF(AND(ISNUMBER(C56),ISNUMBER(D56),C56&gt;=0.2,C56&lt;=0.8),D56,"")</f>
        <v/>
      </c>
      <c r="F56" s="5">
        <f>IF(ISNUMBER(E56),A56,"")</f>
        <v/>
      </c>
      <c r="G56" s="5">
        <f>IF(AND(ISNUMBER(E56),ISNUMBER($K$4)),E56-($K$7+$K$4*A56),"")</f>
        <v/>
      </c>
    </row>
    <row r="57">
      <c r="A57" s="4" t="n"/>
      <c r="B57" s="4" t="n"/>
      <c r="C57" s="5">
        <f>IF(AND(ISNUMBER(A57),ISNUMBER(B57),ISNUMBER($K$2),ISNUMBER($K$3),$K$3&gt;$K$2),(B57-$K$2)/($K$3-$K$2),"")</f>
        <v/>
      </c>
      <c r="D57" s="5">
        <f>IF(ISNUMBER(C57),IF(B57&lt;$K$3,LN(($K$3-$K$2)/($K$3-B57)),""),"")</f>
        <v/>
      </c>
      <c r="E57" s="5">
        <f>IF(AND(ISNUMBER(C57),ISNUMBER(D57),C57&gt;=0.2,C57&lt;=0.8),D57,"")</f>
        <v/>
      </c>
      <c r="F57" s="5">
        <f>IF(ISNUMBER(E57),A57,"")</f>
        <v/>
      </c>
      <c r="G57" s="5">
        <f>IF(AND(ISNUMBER(E57),ISNUMBER($K$4)),E57-($K$7+$K$4*A57),"")</f>
        <v/>
      </c>
    </row>
    <row r="58">
      <c r="A58" s="4" t="n"/>
      <c r="B58" s="4" t="n"/>
      <c r="C58" s="5">
        <f>IF(AND(ISNUMBER(A58),ISNUMBER(B58),ISNUMBER($K$2),ISNUMBER($K$3),$K$3&gt;$K$2),(B58-$K$2)/($K$3-$K$2),"")</f>
        <v/>
      </c>
      <c r="D58" s="5">
        <f>IF(ISNUMBER(C58),IF(B58&lt;$K$3,LN(($K$3-$K$2)/($K$3-B58)),""),"")</f>
        <v/>
      </c>
      <c r="E58" s="5">
        <f>IF(AND(ISNUMBER(C58),ISNUMBER(D58),C58&gt;=0.2,C58&lt;=0.8),D58,"")</f>
        <v/>
      </c>
      <c r="F58" s="5">
        <f>IF(ISNUMBER(E58),A58,"")</f>
        <v/>
      </c>
      <c r="G58" s="5">
        <f>IF(AND(ISNUMBER(E58),ISNUMBER($K$4)),E58-($K$7+$K$4*A58),"")</f>
        <v/>
      </c>
    </row>
    <row r="59">
      <c r="A59" s="4" t="n"/>
      <c r="B59" s="4" t="n"/>
      <c r="C59" s="5">
        <f>IF(AND(ISNUMBER(A59),ISNUMBER(B59),ISNUMBER($K$2),ISNUMBER($K$3),$K$3&gt;$K$2),(B59-$K$2)/($K$3-$K$2),"")</f>
        <v/>
      </c>
      <c r="D59" s="5">
        <f>IF(ISNUMBER(C59),IF(B59&lt;$K$3,LN(($K$3-$K$2)/($K$3-B59)),""),"")</f>
        <v/>
      </c>
      <c r="E59" s="5">
        <f>IF(AND(ISNUMBER(C59),ISNUMBER(D59),C59&gt;=0.2,C59&lt;=0.8),D59,"")</f>
        <v/>
      </c>
      <c r="F59" s="5">
        <f>IF(ISNUMBER(E59),A59,"")</f>
        <v/>
      </c>
      <c r="G59" s="5">
        <f>IF(AND(ISNUMBER(E59),ISNUMBER($K$4)),E59-($K$7+$K$4*A59),"")</f>
        <v/>
      </c>
    </row>
    <row r="60">
      <c r="A60" s="4" t="n"/>
      <c r="B60" s="4" t="n"/>
      <c r="C60" s="5">
        <f>IF(AND(ISNUMBER(A60),ISNUMBER(B60),ISNUMBER($K$2),ISNUMBER($K$3),$K$3&gt;$K$2),(B60-$K$2)/($K$3-$K$2),"")</f>
        <v/>
      </c>
      <c r="D60" s="5">
        <f>IF(ISNUMBER(C60),IF(B60&lt;$K$3,LN(($K$3-$K$2)/($K$3-B60)),""),"")</f>
        <v/>
      </c>
      <c r="E60" s="5">
        <f>IF(AND(ISNUMBER(C60),ISNUMBER(D60),C60&gt;=0.2,C60&lt;=0.8),D60,"")</f>
        <v/>
      </c>
      <c r="F60" s="5">
        <f>IF(ISNUMBER(E60),A60,"")</f>
        <v/>
      </c>
      <c r="G60" s="5">
        <f>IF(AND(ISNUMBER(E60),ISNUMBER($K$4)),E60-($K$7+$K$4*A60),"")</f>
        <v/>
      </c>
    </row>
    <row r="61">
      <c r="A61" s="4" t="n"/>
      <c r="B61" s="4" t="n"/>
      <c r="C61" s="5">
        <f>IF(AND(ISNUMBER(A61),ISNUMBER(B61),ISNUMBER($K$2),ISNUMBER($K$3),$K$3&gt;$K$2),(B61-$K$2)/($K$3-$K$2),"")</f>
        <v/>
      </c>
      <c r="D61" s="5">
        <f>IF(ISNUMBER(C61),IF(B61&lt;$K$3,LN(($K$3-$K$2)/($K$3-B61)),""),"")</f>
        <v/>
      </c>
      <c r="E61" s="5">
        <f>IF(AND(ISNUMBER(C61),ISNUMBER(D61),C61&gt;=0.2,C61&lt;=0.8),D61,"")</f>
        <v/>
      </c>
      <c r="F61" s="5">
        <f>IF(ISNUMBER(E61),A61,"")</f>
        <v/>
      </c>
      <c r="G61" s="5">
        <f>IF(AND(ISNUMBER(E61),ISNUMBER($K$4)),E61-($K$7+$K$4*A61),"")</f>
        <v/>
      </c>
    </row>
    <row r="62">
      <c r="A62" s="4" t="n"/>
      <c r="B62" s="4" t="n"/>
      <c r="C62" s="5">
        <f>IF(AND(ISNUMBER(A62),ISNUMBER(B62),ISNUMBER($K$2),ISNUMBER($K$3),$K$3&gt;$K$2),(B62-$K$2)/($K$3-$K$2),"")</f>
        <v/>
      </c>
      <c r="D62" s="5">
        <f>IF(ISNUMBER(C62),IF(B62&lt;$K$3,LN(($K$3-$K$2)/($K$3-B62)),""),"")</f>
        <v/>
      </c>
      <c r="E62" s="5">
        <f>IF(AND(ISNUMBER(C62),ISNUMBER(D62),C62&gt;=0.2,C62&lt;=0.8),D62,"")</f>
        <v/>
      </c>
      <c r="F62" s="5">
        <f>IF(ISNUMBER(E62),A62,"")</f>
        <v/>
      </c>
      <c r="G62" s="5">
        <f>IF(AND(ISNUMBER(E62),ISNUMBER($K$4)),E62-($K$7+$K$4*A62),"")</f>
        <v/>
      </c>
    </row>
    <row r="63">
      <c r="A63" s="4" t="n"/>
      <c r="B63" s="4" t="n"/>
      <c r="C63" s="5">
        <f>IF(AND(ISNUMBER(A63),ISNUMBER(B63),ISNUMBER($K$2),ISNUMBER($K$3),$K$3&gt;$K$2),(B63-$K$2)/($K$3-$K$2),"")</f>
        <v/>
      </c>
      <c r="D63" s="5">
        <f>IF(ISNUMBER(C63),IF(B63&lt;$K$3,LN(($K$3-$K$2)/($K$3-B63)),""),"")</f>
        <v/>
      </c>
      <c r="E63" s="5">
        <f>IF(AND(ISNUMBER(C63),ISNUMBER(D63),C63&gt;=0.2,C63&lt;=0.8),D63,"")</f>
        <v/>
      </c>
      <c r="F63" s="5">
        <f>IF(ISNUMBER(E63),A63,"")</f>
        <v/>
      </c>
      <c r="G63" s="5">
        <f>IF(AND(ISNUMBER(E63),ISNUMBER($K$4)),E63-($K$7+$K$4*A63),"")</f>
        <v/>
      </c>
    </row>
    <row r="64">
      <c r="A64" s="4" t="n"/>
      <c r="B64" s="4" t="n"/>
      <c r="C64" s="5">
        <f>IF(AND(ISNUMBER(A64),ISNUMBER(B64),ISNUMBER($K$2),ISNUMBER($K$3),$K$3&gt;$K$2),(B64-$K$2)/($K$3-$K$2),"")</f>
        <v/>
      </c>
      <c r="D64" s="5">
        <f>IF(ISNUMBER(C64),IF(B64&lt;$K$3,LN(($K$3-$K$2)/($K$3-B64)),""),"")</f>
        <v/>
      </c>
      <c r="E64" s="5">
        <f>IF(AND(ISNUMBER(C64),ISNUMBER(D64),C64&gt;=0.2,C64&lt;=0.8),D64,"")</f>
        <v/>
      </c>
      <c r="F64" s="5">
        <f>IF(ISNUMBER(E64),A64,"")</f>
        <v/>
      </c>
      <c r="G64" s="5">
        <f>IF(AND(ISNUMBER(E64),ISNUMBER($K$4)),E64-($K$7+$K$4*A64),"")</f>
        <v/>
      </c>
    </row>
    <row r="65">
      <c r="A65" s="4" t="n"/>
      <c r="B65" s="4" t="n"/>
      <c r="C65" s="5">
        <f>IF(AND(ISNUMBER(A65),ISNUMBER(B65),ISNUMBER($K$2),ISNUMBER($K$3),$K$3&gt;$K$2),(B65-$K$2)/($K$3-$K$2),"")</f>
        <v/>
      </c>
      <c r="D65" s="5">
        <f>IF(ISNUMBER(C65),IF(B65&lt;$K$3,LN(($K$3-$K$2)/($K$3-B65)),""),"")</f>
        <v/>
      </c>
      <c r="E65" s="5">
        <f>IF(AND(ISNUMBER(C65),ISNUMBER(D65),C65&gt;=0.2,C65&lt;=0.8),D65,"")</f>
        <v/>
      </c>
      <c r="F65" s="5">
        <f>IF(ISNUMBER(E65),A65,"")</f>
        <v/>
      </c>
      <c r="G65" s="5">
        <f>IF(AND(ISNUMBER(E65),ISNUMBER($K$4)),E65-($K$7+$K$4*A65),"")</f>
        <v/>
      </c>
    </row>
    <row r="66">
      <c r="A66" s="4" t="n"/>
      <c r="B66" s="4" t="n"/>
      <c r="C66" s="5">
        <f>IF(AND(ISNUMBER(A66),ISNUMBER(B66),ISNUMBER($K$2),ISNUMBER($K$3),$K$3&gt;$K$2),(B66-$K$2)/($K$3-$K$2),"")</f>
        <v/>
      </c>
      <c r="D66" s="5">
        <f>IF(ISNUMBER(C66),IF(B66&lt;$K$3,LN(($K$3-$K$2)/($K$3-B66)),""),"")</f>
        <v/>
      </c>
      <c r="E66" s="5">
        <f>IF(AND(ISNUMBER(C66),ISNUMBER(D66),C66&gt;=0.2,C66&lt;=0.8),D66,"")</f>
        <v/>
      </c>
      <c r="F66" s="5">
        <f>IF(ISNUMBER(E66),A66,"")</f>
        <v/>
      </c>
      <c r="G66" s="5">
        <f>IF(AND(ISNUMBER(E66),ISNUMBER($K$4)),E66-($K$7+$K$4*A66),"")</f>
        <v/>
      </c>
    </row>
    <row r="67">
      <c r="A67" s="4" t="n"/>
      <c r="B67" s="4" t="n"/>
      <c r="C67" s="5">
        <f>IF(AND(ISNUMBER(A67),ISNUMBER(B67),ISNUMBER($K$2),ISNUMBER($K$3),$K$3&gt;$K$2),(B67-$K$2)/($K$3-$K$2),"")</f>
        <v/>
      </c>
      <c r="D67" s="5">
        <f>IF(ISNUMBER(C67),IF(B67&lt;$K$3,LN(($K$3-$K$2)/($K$3-B67)),""),"")</f>
        <v/>
      </c>
      <c r="E67" s="5">
        <f>IF(AND(ISNUMBER(C67),ISNUMBER(D67),C67&gt;=0.2,C67&lt;=0.8),D67,"")</f>
        <v/>
      </c>
      <c r="F67" s="5">
        <f>IF(ISNUMBER(E67),A67,"")</f>
        <v/>
      </c>
      <c r="G67" s="5">
        <f>IF(AND(ISNUMBER(E67),ISNUMBER($K$4)),E67-($K$7+$K$4*A67),"")</f>
        <v/>
      </c>
    </row>
    <row r="68">
      <c r="A68" s="4" t="n"/>
      <c r="B68" s="4" t="n"/>
      <c r="C68" s="5">
        <f>IF(AND(ISNUMBER(A68),ISNUMBER(B68),ISNUMBER($K$2),ISNUMBER($K$3),$K$3&gt;$K$2),(B68-$K$2)/($K$3-$K$2),"")</f>
        <v/>
      </c>
      <c r="D68" s="5">
        <f>IF(ISNUMBER(C68),IF(B68&lt;$K$3,LN(($K$3-$K$2)/($K$3-B68)),""),"")</f>
        <v/>
      </c>
      <c r="E68" s="5">
        <f>IF(AND(ISNUMBER(C68),ISNUMBER(D68),C68&gt;=0.2,C68&lt;=0.8),D68,"")</f>
        <v/>
      </c>
      <c r="F68" s="5">
        <f>IF(ISNUMBER(E68),A68,"")</f>
        <v/>
      </c>
      <c r="G68" s="5">
        <f>IF(AND(ISNUMBER(E68),ISNUMBER($K$4)),E68-($K$7+$K$4*A68),"")</f>
        <v/>
      </c>
    </row>
    <row r="69">
      <c r="A69" s="4" t="n"/>
      <c r="B69" s="4" t="n"/>
      <c r="C69" s="5">
        <f>IF(AND(ISNUMBER(A69),ISNUMBER(B69),ISNUMBER($K$2),ISNUMBER($K$3),$K$3&gt;$K$2),(B69-$K$2)/($K$3-$K$2),"")</f>
        <v/>
      </c>
      <c r="D69" s="5">
        <f>IF(ISNUMBER(C69),IF(B69&lt;$K$3,LN(($K$3-$K$2)/($K$3-B69)),""),"")</f>
        <v/>
      </c>
      <c r="E69" s="5">
        <f>IF(AND(ISNUMBER(C69),ISNUMBER(D69),C69&gt;=0.2,C69&lt;=0.8),D69,"")</f>
        <v/>
      </c>
      <c r="F69" s="5">
        <f>IF(ISNUMBER(E69),A69,"")</f>
        <v/>
      </c>
      <c r="G69" s="5">
        <f>IF(AND(ISNUMBER(E69),ISNUMBER($K$4)),E69-($K$7+$K$4*A69),"")</f>
        <v/>
      </c>
    </row>
    <row r="70">
      <c r="A70" s="4" t="n"/>
      <c r="B70" s="4" t="n"/>
      <c r="C70" s="5">
        <f>IF(AND(ISNUMBER(A70),ISNUMBER(B70),ISNUMBER($K$2),ISNUMBER($K$3),$K$3&gt;$K$2),(B70-$K$2)/($K$3-$K$2),"")</f>
        <v/>
      </c>
      <c r="D70" s="5">
        <f>IF(ISNUMBER(C70),IF(B70&lt;$K$3,LN(($K$3-$K$2)/($K$3-B70)),""),"")</f>
        <v/>
      </c>
      <c r="E70" s="5">
        <f>IF(AND(ISNUMBER(C70),ISNUMBER(D70),C70&gt;=0.2,C70&lt;=0.8),D70,"")</f>
        <v/>
      </c>
      <c r="F70" s="5">
        <f>IF(ISNUMBER(E70),A70,"")</f>
        <v/>
      </c>
      <c r="G70" s="5">
        <f>IF(AND(ISNUMBER(E70),ISNUMBER($K$4)),E70-($K$7+$K$4*A70),"")</f>
        <v/>
      </c>
    </row>
    <row r="71">
      <c r="A71" s="4" t="n"/>
      <c r="B71" s="4" t="n"/>
      <c r="C71" s="5">
        <f>IF(AND(ISNUMBER(A71),ISNUMBER(B71),ISNUMBER($K$2),ISNUMBER($K$3),$K$3&gt;$K$2),(B71-$K$2)/($K$3-$K$2),"")</f>
        <v/>
      </c>
      <c r="D71" s="5">
        <f>IF(ISNUMBER(C71),IF(B71&lt;$K$3,LN(($K$3-$K$2)/($K$3-B71)),""),"")</f>
        <v/>
      </c>
      <c r="E71" s="5">
        <f>IF(AND(ISNUMBER(C71),ISNUMBER(D71),C71&gt;=0.2,C71&lt;=0.8),D71,"")</f>
        <v/>
      </c>
      <c r="F71" s="5">
        <f>IF(ISNUMBER(E71),A71,"")</f>
        <v/>
      </c>
      <c r="G71" s="5">
        <f>IF(AND(ISNUMBER(E71),ISNUMBER($K$4)),E71-($K$7+$K$4*A71),"")</f>
        <v/>
      </c>
    </row>
    <row r="72">
      <c r="A72" s="4" t="n"/>
      <c r="B72" s="4" t="n"/>
      <c r="C72" s="5">
        <f>IF(AND(ISNUMBER(A72),ISNUMBER(B72),ISNUMBER($K$2),ISNUMBER($K$3),$K$3&gt;$K$2),(B72-$K$2)/($K$3-$K$2),"")</f>
        <v/>
      </c>
      <c r="D72" s="5">
        <f>IF(ISNUMBER(C72),IF(B72&lt;$K$3,LN(($K$3-$K$2)/($K$3-B72)),""),"")</f>
        <v/>
      </c>
      <c r="E72" s="5">
        <f>IF(AND(ISNUMBER(C72),ISNUMBER(D72),C72&gt;=0.2,C72&lt;=0.8),D72,"")</f>
        <v/>
      </c>
      <c r="F72" s="5">
        <f>IF(ISNUMBER(E72),A72,"")</f>
        <v/>
      </c>
      <c r="G72" s="5">
        <f>IF(AND(ISNUMBER(E72),ISNUMBER($K$4)),E72-($K$7+$K$4*A72),"")</f>
        <v/>
      </c>
    </row>
    <row r="73">
      <c r="A73" s="4" t="n"/>
      <c r="B73" s="4" t="n"/>
      <c r="C73" s="5">
        <f>IF(AND(ISNUMBER(A73),ISNUMBER(B73),ISNUMBER($K$2),ISNUMBER($K$3),$K$3&gt;$K$2),(B73-$K$2)/($K$3-$K$2),"")</f>
        <v/>
      </c>
      <c r="D73" s="5">
        <f>IF(ISNUMBER(C73),IF(B73&lt;$K$3,LN(($K$3-$K$2)/($K$3-B73)),""),"")</f>
        <v/>
      </c>
      <c r="E73" s="5">
        <f>IF(AND(ISNUMBER(C73),ISNUMBER(D73),C73&gt;=0.2,C73&lt;=0.8),D73,"")</f>
        <v/>
      </c>
      <c r="F73" s="5">
        <f>IF(ISNUMBER(E73),A73,"")</f>
        <v/>
      </c>
      <c r="G73" s="5">
        <f>IF(AND(ISNUMBER(E73),ISNUMBER($K$4)),E73-($K$7+$K$4*A73),"")</f>
        <v/>
      </c>
    </row>
    <row r="74">
      <c r="A74" s="4" t="n"/>
      <c r="B74" s="4" t="n"/>
      <c r="C74" s="5">
        <f>IF(AND(ISNUMBER(A74),ISNUMBER(B74),ISNUMBER($K$2),ISNUMBER($K$3),$K$3&gt;$K$2),(B74-$K$2)/($K$3-$K$2),"")</f>
        <v/>
      </c>
      <c r="D74" s="5">
        <f>IF(ISNUMBER(C74),IF(B74&lt;$K$3,LN(($K$3-$K$2)/($K$3-B74)),""),"")</f>
        <v/>
      </c>
      <c r="E74" s="5">
        <f>IF(AND(ISNUMBER(C74),ISNUMBER(D74),C74&gt;=0.2,C74&lt;=0.8),D74,"")</f>
        <v/>
      </c>
      <c r="F74" s="5">
        <f>IF(ISNUMBER(E74),A74,"")</f>
        <v/>
      </c>
      <c r="G74" s="5">
        <f>IF(AND(ISNUMBER(E74),ISNUMBER($K$4)),E74-($K$7+$K$4*A74),"")</f>
        <v/>
      </c>
    </row>
    <row r="75">
      <c r="A75" s="4" t="n"/>
      <c r="B75" s="4" t="n"/>
      <c r="C75" s="5">
        <f>IF(AND(ISNUMBER(A75),ISNUMBER(B75),ISNUMBER($K$2),ISNUMBER($K$3),$K$3&gt;$K$2),(B75-$K$2)/($K$3-$K$2),"")</f>
        <v/>
      </c>
      <c r="D75" s="5">
        <f>IF(ISNUMBER(C75),IF(B75&lt;$K$3,LN(($K$3-$K$2)/($K$3-B75)),""),"")</f>
        <v/>
      </c>
      <c r="E75" s="5">
        <f>IF(AND(ISNUMBER(C75),ISNUMBER(D75),C75&gt;=0.2,C75&lt;=0.8),D75,"")</f>
        <v/>
      </c>
      <c r="F75" s="5">
        <f>IF(ISNUMBER(E75),A75,"")</f>
        <v/>
      </c>
      <c r="G75" s="5">
        <f>IF(AND(ISNUMBER(E75),ISNUMBER($K$4)),E75-($K$7+$K$4*A75),"")</f>
        <v/>
      </c>
    </row>
    <row r="76">
      <c r="A76" s="4" t="n"/>
      <c r="B76" s="4" t="n"/>
      <c r="C76" s="5">
        <f>IF(AND(ISNUMBER(A76),ISNUMBER(B76),ISNUMBER($K$2),ISNUMBER($K$3),$K$3&gt;$K$2),(B76-$K$2)/($K$3-$K$2),"")</f>
        <v/>
      </c>
      <c r="D76" s="5">
        <f>IF(ISNUMBER(C76),IF(B76&lt;$K$3,LN(($K$3-$K$2)/($K$3-B76)),""),"")</f>
        <v/>
      </c>
      <c r="E76" s="5">
        <f>IF(AND(ISNUMBER(C76),ISNUMBER(D76),C76&gt;=0.2,C76&lt;=0.8),D76,"")</f>
        <v/>
      </c>
      <c r="F76" s="5">
        <f>IF(ISNUMBER(E76),A76,"")</f>
        <v/>
      </c>
      <c r="G76" s="5">
        <f>IF(AND(ISNUMBER(E76),ISNUMBER($K$4)),E76-($K$7+$K$4*A76),"")</f>
        <v/>
      </c>
    </row>
    <row r="77">
      <c r="A77" s="4" t="n"/>
      <c r="B77" s="4" t="n"/>
      <c r="C77" s="5">
        <f>IF(AND(ISNUMBER(A77),ISNUMBER(B77),ISNUMBER($K$2),ISNUMBER($K$3),$K$3&gt;$K$2),(B77-$K$2)/($K$3-$K$2),"")</f>
        <v/>
      </c>
      <c r="D77" s="5">
        <f>IF(ISNUMBER(C77),IF(B77&lt;$K$3,LN(($K$3-$K$2)/($K$3-B77)),""),"")</f>
        <v/>
      </c>
      <c r="E77" s="5">
        <f>IF(AND(ISNUMBER(C77),ISNUMBER(D77),C77&gt;=0.2,C77&lt;=0.8),D77,"")</f>
        <v/>
      </c>
      <c r="F77" s="5">
        <f>IF(ISNUMBER(E77),A77,"")</f>
        <v/>
      </c>
      <c r="G77" s="5">
        <f>IF(AND(ISNUMBER(E77),ISNUMBER($K$4)),E77-($K$7+$K$4*A77),"")</f>
        <v/>
      </c>
    </row>
    <row r="78">
      <c r="A78" s="4" t="n"/>
      <c r="B78" s="4" t="n"/>
      <c r="C78" s="5">
        <f>IF(AND(ISNUMBER(A78),ISNUMBER(B78),ISNUMBER($K$2),ISNUMBER($K$3),$K$3&gt;$K$2),(B78-$K$2)/($K$3-$K$2),"")</f>
        <v/>
      </c>
      <c r="D78" s="5">
        <f>IF(ISNUMBER(C78),IF(B78&lt;$K$3,LN(($K$3-$K$2)/($K$3-B78)),""),"")</f>
        <v/>
      </c>
      <c r="E78" s="5">
        <f>IF(AND(ISNUMBER(C78),ISNUMBER(D78),C78&gt;=0.2,C78&lt;=0.8),D78,"")</f>
        <v/>
      </c>
      <c r="F78" s="5">
        <f>IF(ISNUMBER(E78),A78,"")</f>
        <v/>
      </c>
      <c r="G78" s="5">
        <f>IF(AND(ISNUMBER(E78),ISNUMBER($K$4)),E78-($K$7+$K$4*A78),"")</f>
        <v/>
      </c>
    </row>
    <row r="79">
      <c r="A79" s="4" t="n"/>
      <c r="B79" s="4" t="n"/>
      <c r="C79" s="5">
        <f>IF(AND(ISNUMBER(A79),ISNUMBER(B79),ISNUMBER($K$2),ISNUMBER($K$3),$K$3&gt;$K$2),(B79-$K$2)/($K$3-$K$2),"")</f>
        <v/>
      </c>
      <c r="D79" s="5">
        <f>IF(ISNUMBER(C79),IF(B79&lt;$K$3,LN(($K$3-$K$2)/($K$3-B79)),""),"")</f>
        <v/>
      </c>
      <c r="E79" s="5">
        <f>IF(AND(ISNUMBER(C79),ISNUMBER(D79),C79&gt;=0.2,C79&lt;=0.8),D79,"")</f>
        <v/>
      </c>
      <c r="F79" s="5">
        <f>IF(ISNUMBER(E79),A79,"")</f>
        <v/>
      </c>
      <c r="G79" s="5">
        <f>IF(AND(ISNUMBER(E79),ISNUMBER($K$4)),E79-($K$7+$K$4*A79),"")</f>
        <v/>
      </c>
    </row>
    <row r="80">
      <c r="A80" s="4" t="n"/>
      <c r="B80" s="4" t="n"/>
      <c r="C80" s="5">
        <f>IF(AND(ISNUMBER(A80),ISNUMBER(B80),ISNUMBER($K$2),ISNUMBER($K$3),$K$3&gt;$K$2),(B80-$K$2)/($K$3-$K$2),"")</f>
        <v/>
      </c>
      <c r="D80" s="5">
        <f>IF(ISNUMBER(C80),IF(B80&lt;$K$3,LN(($K$3-$K$2)/($K$3-B80)),""),"")</f>
        <v/>
      </c>
      <c r="E80" s="5">
        <f>IF(AND(ISNUMBER(C80),ISNUMBER(D80),C80&gt;=0.2,C80&lt;=0.8),D80,"")</f>
        <v/>
      </c>
      <c r="F80" s="5">
        <f>IF(ISNUMBER(E80),A80,"")</f>
        <v/>
      </c>
      <c r="G80" s="5">
        <f>IF(AND(ISNUMBER(E80),ISNUMBER($K$4)),E80-($K$7+$K$4*A80),"")</f>
        <v/>
      </c>
    </row>
    <row r="81">
      <c r="A81" s="4" t="n"/>
      <c r="B81" s="4" t="n"/>
      <c r="C81" s="5">
        <f>IF(AND(ISNUMBER(A81),ISNUMBER(B81),ISNUMBER($K$2),ISNUMBER($K$3),$K$3&gt;$K$2),(B81-$K$2)/($K$3-$K$2),"")</f>
        <v/>
      </c>
      <c r="D81" s="5">
        <f>IF(ISNUMBER(C81),IF(B81&lt;$K$3,LN(($K$3-$K$2)/($K$3-B81)),""),"")</f>
        <v/>
      </c>
      <c r="E81" s="5">
        <f>IF(AND(ISNUMBER(C81),ISNUMBER(D81),C81&gt;=0.2,C81&lt;=0.8),D81,"")</f>
        <v/>
      </c>
      <c r="F81" s="5">
        <f>IF(ISNUMBER(E81),A81,"")</f>
        <v/>
      </c>
      <c r="G81" s="5">
        <f>IF(AND(ISNUMBER(E81),ISNUMBER($K$4)),E81-($K$7+$K$4*A81),"")</f>
        <v/>
      </c>
    </row>
    <row r="82">
      <c r="A82" s="4" t="n"/>
      <c r="B82" s="4" t="n"/>
      <c r="C82" s="5">
        <f>IF(AND(ISNUMBER(A82),ISNUMBER(B82),ISNUMBER($K$2),ISNUMBER($K$3),$K$3&gt;$K$2),(B82-$K$2)/($K$3-$K$2),"")</f>
        <v/>
      </c>
      <c r="D82" s="5">
        <f>IF(ISNUMBER(C82),IF(B82&lt;$K$3,LN(($K$3-$K$2)/($K$3-B82)),""),"")</f>
        <v/>
      </c>
      <c r="E82" s="5">
        <f>IF(AND(ISNUMBER(C82),ISNUMBER(D82),C82&gt;=0.2,C82&lt;=0.8),D82,"")</f>
        <v/>
      </c>
      <c r="F82" s="5">
        <f>IF(ISNUMBER(E82),A82,"")</f>
        <v/>
      </c>
      <c r="G82" s="5">
        <f>IF(AND(ISNUMBER(E82),ISNUMBER($K$4)),E82-($K$7+$K$4*A82),"")</f>
        <v/>
      </c>
    </row>
    <row r="83">
      <c r="A83" s="4" t="n"/>
      <c r="B83" s="4" t="n"/>
      <c r="C83" s="5">
        <f>IF(AND(ISNUMBER(A83),ISNUMBER(B83),ISNUMBER($K$2),ISNUMBER($K$3),$K$3&gt;$K$2),(B83-$K$2)/($K$3-$K$2),"")</f>
        <v/>
      </c>
      <c r="D83" s="5">
        <f>IF(ISNUMBER(C83),IF(B83&lt;$K$3,LN(($K$3-$K$2)/($K$3-B83)),""),"")</f>
        <v/>
      </c>
      <c r="E83" s="5">
        <f>IF(AND(ISNUMBER(C83),ISNUMBER(D83),C83&gt;=0.2,C83&lt;=0.8),D83,"")</f>
        <v/>
      </c>
      <c r="F83" s="5">
        <f>IF(ISNUMBER(E83),A83,"")</f>
        <v/>
      </c>
      <c r="G83" s="5">
        <f>IF(AND(ISNUMBER(E83),ISNUMBER($K$4)),E83-($K$7+$K$4*A83),"")</f>
        <v/>
      </c>
    </row>
    <row r="84">
      <c r="A84" s="4" t="n"/>
      <c r="B84" s="4" t="n"/>
      <c r="C84" s="5">
        <f>IF(AND(ISNUMBER(A84),ISNUMBER(B84),ISNUMBER($K$2),ISNUMBER($K$3),$K$3&gt;$K$2),(B84-$K$2)/($K$3-$K$2),"")</f>
        <v/>
      </c>
      <c r="D84" s="5">
        <f>IF(ISNUMBER(C84),IF(B84&lt;$K$3,LN(($K$3-$K$2)/($K$3-B84)),""),"")</f>
        <v/>
      </c>
      <c r="E84" s="5">
        <f>IF(AND(ISNUMBER(C84),ISNUMBER(D84),C84&gt;=0.2,C84&lt;=0.8),D84,"")</f>
        <v/>
      </c>
      <c r="F84" s="5">
        <f>IF(ISNUMBER(E84),A84,"")</f>
        <v/>
      </c>
      <c r="G84" s="5">
        <f>IF(AND(ISNUMBER(E84),ISNUMBER($K$4)),E84-($K$7+$K$4*A84),"")</f>
        <v/>
      </c>
    </row>
    <row r="85">
      <c r="A85" s="4" t="n"/>
      <c r="B85" s="4" t="n"/>
      <c r="C85" s="5">
        <f>IF(AND(ISNUMBER(A85),ISNUMBER(B85),ISNUMBER($K$2),ISNUMBER($K$3),$K$3&gt;$K$2),(B85-$K$2)/($K$3-$K$2),"")</f>
        <v/>
      </c>
      <c r="D85" s="5">
        <f>IF(ISNUMBER(C85),IF(B85&lt;$K$3,LN(($K$3-$K$2)/($K$3-B85)),""),"")</f>
        <v/>
      </c>
      <c r="E85" s="5">
        <f>IF(AND(ISNUMBER(C85),ISNUMBER(D85),C85&gt;=0.2,C85&lt;=0.8),D85,"")</f>
        <v/>
      </c>
      <c r="F85" s="5">
        <f>IF(ISNUMBER(E85),A85,"")</f>
        <v/>
      </c>
      <c r="G85" s="5">
        <f>IF(AND(ISNUMBER(E85),ISNUMBER($K$4)),E85-($K$7+$K$4*A85),"")</f>
        <v/>
      </c>
    </row>
    <row r="86">
      <c r="A86" s="4" t="n"/>
      <c r="B86" s="4" t="n"/>
      <c r="C86" s="5">
        <f>IF(AND(ISNUMBER(A86),ISNUMBER(B86),ISNUMBER($K$2),ISNUMBER($K$3),$K$3&gt;$K$2),(B86-$K$2)/($K$3-$K$2),"")</f>
        <v/>
      </c>
      <c r="D86" s="5">
        <f>IF(ISNUMBER(C86),IF(B86&lt;$K$3,LN(($K$3-$K$2)/($K$3-B86)),""),"")</f>
        <v/>
      </c>
      <c r="E86" s="5">
        <f>IF(AND(ISNUMBER(C86),ISNUMBER(D86),C86&gt;=0.2,C86&lt;=0.8),D86,"")</f>
        <v/>
      </c>
      <c r="F86" s="5">
        <f>IF(ISNUMBER(E86),A86,"")</f>
        <v/>
      </c>
      <c r="G86" s="5">
        <f>IF(AND(ISNUMBER(E86),ISNUMBER($K$4)),E86-($K$7+$K$4*A86),"")</f>
        <v/>
      </c>
    </row>
    <row r="87">
      <c r="A87" s="4" t="n"/>
      <c r="B87" s="4" t="n"/>
      <c r="C87" s="5">
        <f>IF(AND(ISNUMBER(A87),ISNUMBER(B87),ISNUMBER($K$2),ISNUMBER($K$3),$K$3&gt;$K$2),(B87-$K$2)/($K$3-$K$2),"")</f>
        <v/>
      </c>
      <c r="D87" s="5">
        <f>IF(ISNUMBER(C87),IF(B87&lt;$K$3,LN(($K$3-$K$2)/($K$3-B87)),""),"")</f>
        <v/>
      </c>
      <c r="E87" s="5">
        <f>IF(AND(ISNUMBER(C87),ISNUMBER(D87),C87&gt;=0.2,C87&lt;=0.8),D87,"")</f>
        <v/>
      </c>
      <c r="F87" s="5">
        <f>IF(ISNUMBER(E87),A87,"")</f>
        <v/>
      </c>
      <c r="G87" s="5">
        <f>IF(AND(ISNUMBER(E87),ISNUMBER($K$4)),E87-($K$7+$K$4*A87),"")</f>
        <v/>
      </c>
    </row>
    <row r="88">
      <c r="A88" s="4" t="n"/>
      <c r="B88" s="4" t="n"/>
      <c r="C88" s="5">
        <f>IF(AND(ISNUMBER(A88),ISNUMBER(B88),ISNUMBER($K$2),ISNUMBER($K$3),$K$3&gt;$K$2),(B88-$K$2)/($K$3-$K$2),"")</f>
        <v/>
      </c>
      <c r="D88" s="5">
        <f>IF(ISNUMBER(C88),IF(B88&lt;$K$3,LN(($K$3-$K$2)/($K$3-B88)),""),"")</f>
        <v/>
      </c>
      <c r="E88" s="5">
        <f>IF(AND(ISNUMBER(C88),ISNUMBER(D88),C88&gt;=0.2,C88&lt;=0.8),D88,"")</f>
        <v/>
      </c>
      <c r="F88" s="5">
        <f>IF(ISNUMBER(E88),A88,"")</f>
        <v/>
      </c>
      <c r="G88" s="5">
        <f>IF(AND(ISNUMBER(E88),ISNUMBER($K$4)),E88-($K$7+$K$4*A88),"")</f>
        <v/>
      </c>
    </row>
    <row r="89">
      <c r="A89" s="4" t="n"/>
      <c r="B89" s="4" t="n"/>
      <c r="C89" s="5">
        <f>IF(AND(ISNUMBER(A89),ISNUMBER(B89),ISNUMBER($K$2),ISNUMBER($K$3),$K$3&gt;$K$2),(B89-$K$2)/($K$3-$K$2),"")</f>
        <v/>
      </c>
      <c r="D89" s="5">
        <f>IF(ISNUMBER(C89),IF(B89&lt;$K$3,LN(($K$3-$K$2)/($K$3-B89)),""),"")</f>
        <v/>
      </c>
      <c r="E89" s="5">
        <f>IF(AND(ISNUMBER(C89),ISNUMBER(D89),C89&gt;=0.2,C89&lt;=0.8),D89,"")</f>
        <v/>
      </c>
      <c r="F89" s="5">
        <f>IF(ISNUMBER(E89),A89,"")</f>
        <v/>
      </c>
      <c r="G89" s="5">
        <f>IF(AND(ISNUMBER(E89),ISNUMBER($K$4)),E89-($K$7+$K$4*A89),"")</f>
        <v/>
      </c>
    </row>
    <row r="90">
      <c r="A90" s="4" t="n"/>
      <c r="B90" s="4" t="n"/>
      <c r="C90" s="5">
        <f>IF(AND(ISNUMBER(A90),ISNUMBER(B90),ISNUMBER($K$2),ISNUMBER($K$3),$K$3&gt;$K$2),(B90-$K$2)/($K$3-$K$2),"")</f>
        <v/>
      </c>
      <c r="D90" s="5">
        <f>IF(ISNUMBER(C90),IF(B90&lt;$K$3,LN(($K$3-$K$2)/($K$3-B90)),""),"")</f>
        <v/>
      </c>
      <c r="E90" s="5">
        <f>IF(AND(ISNUMBER(C90),ISNUMBER(D90),C90&gt;=0.2,C90&lt;=0.8),D90,"")</f>
        <v/>
      </c>
      <c r="F90" s="5">
        <f>IF(ISNUMBER(E90),A90,"")</f>
        <v/>
      </c>
      <c r="G90" s="5">
        <f>IF(AND(ISNUMBER(E90),ISNUMBER($K$4)),E90-($K$7+$K$4*A90),"")</f>
        <v/>
      </c>
    </row>
    <row r="91">
      <c r="A91" s="4" t="n"/>
      <c r="B91" s="4" t="n"/>
      <c r="C91" s="5">
        <f>IF(AND(ISNUMBER(A91),ISNUMBER(B91),ISNUMBER($K$2),ISNUMBER($K$3),$K$3&gt;$K$2),(B91-$K$2)/($K$3-$K$2),"")</f>
        <v/>
      </c>
      <c r="D91" s="5">
        <f>IF(ISNUMBER(C91),IF(B91&lt;$K$3,LN(($K$3-$K$2)/($K$3-B91)),""),"")</f>
        <v/>
      </c>
      <c r="E91" s="5">
        <f>IF(AND(ISNUMBER(C91),ISNUMBER(D91),C91&gt;=0.2,C91&lt;=0.8),D91,"")</f>
        <v/>
      </c>
      <c r="F91" s="5">
        <f>IF(ISNUMBER(E91),A91,"")</f>
        <v/>
      </c>
      <c r="G91" s="5">
        <f>IF(AND(ISNUMBER(E91),ISNUMBER($K$4)),E91-($K$7+$K$4*A91),"")</f>
        <v/>
      </c>
    </row>
    <row r="92">
      <c r="A92" s="4" t="n"/>
      <c r="B92" s="4" t="n"/>
      <c r="C92" s="5">
        <f>IF(AND(ISNUMBER(A92),ISNUMBER(B92),ISNUMBER($K$2),ISNUMBER($K$3),$K$3&gt;$K$2),(B92-$K$2)/($K$3-$K$2),"")</f>
        <v/>
      </c>
      <c r="D92" s="5">
        <f>IF(ISNUMBER(C92),IF(B92&lt;$K$3,LN(($K$3-$K$2)/($K$3-B92)),""),"")</f>
        <v/>
      </c>
      <c r="E92" s="5">
        <f>IF(AND(ISNUMBER(C92),ISNUMBER(D92),C92&gt;=0.2,C92&lt;=0.8),D92,"")</f>
        <v/>
      </c>
      <c r="F92" s="5">
        <f>IF(ISNUMBER(E92),A92,"")</f>
        <v/>
      </c>
      <c r="G92" s="5">
        <f>IF(AND(ISNUMBER(E92),ISNUMBER($K$4)),E92-($K$7+$K$4*A92),"")</f>
        <v/>
      </c>
    </row>
    <row r="93">
      <c r="A93" s="4" t="n"/>
      <c r="B93" s="4" t="n"/>
      <c r="C93" s="5">
        <f>IF(AND(ISNUMBER(A93),ISNUMBER(B93),ISNUMBER($K$2),ISNUMBER($K$3),$K$3&gt;$K$2),(B93-$K$2)/($K$3-$K$2),"")</f>
        <v/>
      </c>
      <c r="D93" s="5">
        <f>IF(ISNUMBER(C93),IF(B93&lt;$K$3,LN(($K$3-$K$2)/($K$3-B93)),""),"")</f>
        <v/>
      </c>
      <c r="E93" s="5">
        <f>IF(AND(ISNUMBER(C93),ISNUMBER(D93),C93&gt;=0.2,C93&lt;=0.8),D93,"")</f>
        <v/>
      </c>
      <c r="F93" s="5">
        <f>IF(ISNUMBER(E93),A93,"")</f>
        <v/>
      </c>
      <c r="G93" s="5">
        <f>IF(AND(ISNUMBER(E93),ISNUMBER($K$4)),E93-($K$7+$K$4*A93),"")</f>
        <v/>
      </c>
    </row>
    <row r="94">
      <c r="A94" s="4" t="n"/>
      <c r="B94" s="4" t="n"/>
      <c r="C94" s="5">
        <f>IF(AND(ISNUMBER(A94),ISNUMBER(B94),ISNUMBER($K$2),ISNUMBER($K$3),$K$3&gt;$K$2),(B94-$K$2)/($K$3-$K$2),"")</f>
        <v/>
      </c>
      <c r="D94" s="5">
        <f>IF(ISNUMBER(C94),IF(B94&lt;$K$3,LN(($K$3-$K$2)/($K$3-B94)),""),"")</f>
        <v/>
      </c>
      <c r="E94" s="5">
        <f>IF(AND(ISNUMBER(C94),ISNUMBER(D94),C94&gt;=0.2,C94&lt;=0.8),D94,"")</f>
        <v/>
      </c>
      <c r="F94" s="5">
        <f>IF(ISNUMBER(E94),A94,"")</f>
        <v/>
      </c>
      <c r="G94" s="5">
        <f>IF(AND(ISNUMBER(E94),ISNUMBER($K$4)),E94-($K$7+$K$4*A94),"")</f>
        <v/>
      </c>
    </row>
    <row r="95">
      <c r="A95" s="4" t="n"/>
      <c r="B95" s="4" t="n"/>
      <c r="C95" s="5">
        <f>IF(AND(ISNUMBER(A95),ISNUMBER(B95),ISNUMBER($K$2),ISNUMBER($K$3),$K$3&gt;$K$2),(B95-$K$2)/($K$3-$K$2),"")</f>
        <v/>
      </c>
      <c r="D95" s="5">
        <f>IF(ISNUMBER(C95),IF(B95&lt;$K$3,LN(($K$3-$K$2)/($K$3-B95)),""),"")</f>
        <v/>
      </c>
      <c r="E95" s="5">
        <f>IF(AND(ISNUMBER(C95),ISNUMBER(D95),C95&gt;=0.2,C95&lt;=0.8),D95,"")</f>
        <v/>
      </c>
      <c r="F95" s="5">
        <f>IF(ISNUMBER(E95),A95,"")</f>
        <v/>
      </c>
      <c r="G95" s="5">
        <f>IF(AND(ISNUMBER(E95),ISNUMBER($K$4)),E95-($K$7+$K$4*A95),"")</f>
        <v/>
      </c>
    </row>
    <row r="96">
      <c r="A96" s="4" t="n"/>
      <c r="B96" s="4" t="n"/>
      <c r="C96" s="5">
        <f>IF(AND(ISNUMBER(A96),ISNUMBER(B96),ISNUMBER($K$2),ISNUMBER($K$3),$K$3&gt;$K$2),(B96-$K$2)/($K$3-$K$2),"")</f>
        <v/>
      </c>
      <c r="D96" s="5">
        <f>IF(ISNUMBER(C96),IF(B96&lt;$K$3,LN(($K$3-$K$2)/($K$3-B96)),""),"")</f>
        <v/>
      </c>
      <c r="E96" s="5">
        <f>IF(AND(ISNUMBER(C96),ISNUMBER(D96),C96&gt;=0.2,C96&lt;=0.8),D96,"")</f>
        <v/>
      </c>
      <c r="F96" s="5">
        <f>IF(ISNUMBER(E96),A96,"")</f>
        <v/>
      </c>
      <c r="G96" s="5">
        <f>IF(AND(ISNUMBER(E96),ISNUMBER($K$4)),E96-($K$7+$K$4*A96),"")</f>
        <v/>
      </c>
    </row>
    <row r="97">
      <c r="A97" s="4" t="n"/>
      <c r="B97" s="4" t="n"/>
      <c r="C97" s="5">
        <f>IF(AND(ISNUMBER(A97),ISNUMBER(B97),ISNUMBER($K$2),ISNUMBER($K$3),$K$3&gt;$K$2),(B97-$K$2)/($K$3-$K$2),"")</f>
        <v/>
      </c>
      <c r="D97" s="5">
        <f>IF(ISNUMBER(C97),IF(B97&lt;$K$3,LN(($K$3-$K$2)/($K$3-B97)),""),"")</f>
        <v/>
      </c>
      <c r="E97" s="5">
        <f>IF(AND(ISNUMBER(C97),ISNUMBER(D97),C97&gt;=0.2,C97&lt;=0.8),D97,"")</f>
        <v/>
      </c>
      <c r="F97" s="5">
        <f>IF(ISNUMBER(E97),A97,"")</f>
        <v/>
      </c>
      <c r="G97" s="5">
        <f>IF(AND(ISNUMBER(E97),ISNUMBER($K$4)),E97-($K$7+$K$4*A97),"")</f>
        <v/>
      </c>
    </row>
    <row r="98">
      <c r="A98" s="4" t="n"/>
      <c r="B98" s="4" t="n"/>
      <c r="C98" s="5">
        <f>IF(AND(ISNUMBER(A98),ISNUMBER(B98),ISNUMBER($K$2),ISNUMBER($K$3),$K$3&gt;$K$2),(B98-$K$2)/($K$3-$K$2),"")</f>
        <v/>
      </c>
      <c r="D98" s="5">
        <f>IF(ISNUMBER(C98),IF(B98&lt;$K$3,LN(($K$3-$K$2)/($K$3-B98)),""),"")</f>
        <v/>
      </c>
      <c r="E98" s="5">
        <f>IF(AND(ISNUMBER(C98),ISNUMBER(D98),C98&gt;=0.2,C98&lt;=0.8),D98,"")</f>
        <v/>
      </c>
      <c r="F98" s="5">
        <f>IF(ISNUMBER(E98),A98,"")</f>
        <v/>
      </c>
      <c r="G98" s="5">
        <f>IF(AND(ISNUMBER(E98),ISNUMBER($K$4)),E98-($K$7+$K$4*A98),"")</f>
        <v/>
      </c>
    </row>
    <row r="99">
      <c r="A99" s="4" t="n"/>
      <c r="B99" s="4" t="n"/>
      <c r="C99" s="5">
        <f>IF(AND(ISNUMBER(A99),ISNUMBER(B99),ISNUMBER($K$2),ISNUMBER($K$3),$K$3&gt;$K$2),(B99-$K$2)/($K$3-$K$2),"")</f>
        <v/>
      </c>
      <c r="D99" s="5">
        <f>IF(ISNUMBER(C99),IF(B99&lt;$K$3,LN(($K$3-$K$2)/($K$3-B99)),""),"")</f>
        <v/>
      </c>
      <c r="E99" s="5">
        <f>IF(AND(ISNUMBER(C99),ISNUMBER(D99),C99&gt;=0.2,C99&lt;=0.8),D99,"")</f>
        <v/>
      </c>
      <c r="F99" s="5">
        <f>IF(ISNUMBER(E99),A99,"")</f>
        <v/>
      </c>
      <c r="G99" s="5">
        <f>IF(AND(ISNUMBER(E99),ISNUMBER($K$4)),E99-($K$7+$K$4*A99),"")</f>
        <v/>
      </c>
    </row>
    <row r="100">
      <c r="A100" s="4" t="n"/>
      <c r="B100" s="4" t="n"/>
      <c r="C100" s="5">
        <f>IF(AND(ISNUMBER(A100),ISNUMBER(B100),ISNUMBER($K$2),ISNUMBER($K$3),$K$3&gt;$K$2),(B100-$K$2)/($K$3-$K$2),"")</f>
        <v/>
      </c>
      <c r="D100" s="5">
        <f>IF(ISNUMBER(C100),IF(B100&lt;$K$3,LN(($K$3-$K$2)/($K$3-B100)),""),"")</f>
        <v/>
      </c>
      <c r="E100" s="5">
        <f>IF(AND(ISNUMBER(C100),ISNUMBER(D100),C100&gt;=0.2,C100&lt;=0.8),D100,"")</f>
        <v/>
      </c>
      <c r="F100" s="5">
        <f>IF(ISNUMBER(E100),A100,"")</f>
        <v/>
      </c>
      <c r="G100" s="5">
        <f>IF(AND(ISNUMBER(E100),ISNUMBER($K$4)),E100-($K$7+$K$4*A100),"")</f>
        <v/>
      </c>
    </row>
    <row r="101">
      <c r="A101" s="4" t="n"/>
      <c r="B101" s="4" t="n"/>
      <c r="C101" s="5">
        <f>IF(AND(ISNUMBER(A101),ISNUMBER(B101),ISNUMBER($K$2),ISNUMBER($K$3),$K$3&gt;$K$2),(B101-$K$2)/($K$3-$K$2),"")</f>
        <v/>
      </c>
      <c r="D101" s="5">
        <f>IF(ISNUMBER(C101),IF(B101&lt;$K$3,LN(($K$3-$K$2)/($K$3-B101)),""),"")</f>
        <v/>
      </c>
      <c r="E101" s="5">
        <f>IF(AND(ISNUMBER(C101),ISNUMBER(D101),C101&gt;=0.2,C101&lt;=0.8),D101,"")</f>
        <v/>
      </c>
      <c r="F101" s="5">
        <f>IF(ISNUMBER(E101),A101,"")</f>
        <v/>
      </c>
      <c r="G101" s="5">
        <f>IF(AND(ISNUMBER(E101),ISNUMBER($K$4)),E101-($K$7+$K$4*A101),"")</f>
        <v/>
      </c>
    </row>
    <row r="102">
      <c r="A102" s="4" t="n"/>
      <c r="B102" s="4" t="n"/>
      <c r="C102" s="5">
        <f>IF(AND(ISNUMBER(A102),ISNUMBER(B102),ISNUMBER($K$2),ISNUMBER($K$3),$K$3&gt;$K$2),(B102-$K$2)/($K$3-$K$2),"")</f>
        <v/>
      </c>
      <c r="D102" s="5">
        <f>IF(ISNUMBER(C102),IF(B102&lt;$K$3,LN(($K$3-$K$2)/($K$3-B102)),""),"")</f>
        <v/>
      </c>
      <c r="E102" s="5">
        <f>IF(AND(ISNUMBER(C102),ISNUMBER(D102),C102&gt;=0.2,C102&lt;=0.8),D102,"")</f>
        <v/>
      </c>
      <c r="F102" s="5">
        <f>IF(ISNUMBER(E102),A102,"")</f>
        <v/>
      </c>
      <c r="G102" s="5">
        <f>IF(AND(ISNUMBER(E102),ISNUMBER($K$4)),E102-($K$7+$K$4*A102),"")</f>
        <v/>
      </c>
    </row>
    <row r="103">
      <c r="A103" s="4" t="n"/>
      <c r="B103" s="4" t="n"/>
      <c r="C103" s="5">
        <f>IF(AND(ISNUMBER(A103),ISNUMBER(B103),ISNUMBER($K$2),ISNUMBER($K$3),$K$3&gt;$K$2),(B103-$K$2)/($K$3-$K$2),"")</f>
        <v/>
      </c>
      <c r="D103" s="5">
        <f>IF(ISNUMBER(C103),IF(B103&lt;$K$3,LN(($K$3-$K$2)/($K$3-B103)),""),"")</f>
        <v/>
      </c>
      <c r="E103" s="5">
        <f>IF(AND(ISNUMBER(C103),ISNUMBER(D103),C103&gt;=0.2,C103&lt;=0.8),D103,"")</f>
        <v/>
      </c>
      <c r="F103" s="5">
        <f>IF(ISNUMBER(E103),A103,"")</f>
        <v/>
      </c>
      <c r="G103" s="5">
        <f>IF(AND(ISNUMBER(E103),ISNUMBER($K$4)),E103-($K$7+$K$4*A103),"")</f>
        <v/>
      </c>
    </row>
    <row r="104">
      <c r="A104" s="4" t="n"/>
      <c r="B104" s="4" t="n"/>
      <c r="C104" s="5">
        <f>IF(AND(ISNUMBER(A104),ISNUMBER(B104),ISNUMBER($K$2),ISNUMBER($K$3),$K$3&gt;$K$2),(B104-$K$2)/($K$3-$K$2),"")</f>
        <v/>
      </c>
      <c r="D104" s="5">
        <f>IF(ISNUMBER(C104),IF(B104&lt;$K$3,LN(($K$3-$K$2)/($K$3-B104)),""),"")</f>
        <v/>
      </c>
      <c r="E104" s="5">
        <f>IF(AND(ISNUMBER(C104),ISNUMBER(D104),C104&gt;=0.2,C104&lt;=0.8),D104,"")</f>
        <v/>
      </c>
      <c r="F104" s="5">
        <f>IF(ISNUMBER(E104),A104,"")</f>
        <v/>
      </c>
      <c r="G104" s="5">
        <f>IF(AND(ISNUMBER(E104),ISNUMBER($K$4)),E104-($K$7+$K$4*A104),"")</f>
        <v/>
      </c>
    </row>
    <row r="105">
      <c r="A105" s="4" t="n"/>
      <c r="B105" s="4" t="n"/>
      <c r="C105" s="5">
        <f>IF(AND(ISNUMBER(A105),ISNUMBER(B105),ISNUMBER($K$2),ISNUMBER($K$3),$K$3&gt;$K$2),(B105-$K$2)/($K$3-$K$2),"")</f>
        <v/>
      </c>
      <c r="D105" s="5">
        <f>IF(ISNUMBER(C105),IF(B105&lt;$K$3,LN(($K$3-$K$2)/($K$3-B105)),""),"")</f>
        <v/>
      </c>
      <c r="E105" s="5">
        <f>IF(AND(ISNUMBER(C105),ISNUMBER(D105),C105&gt;=0.2,C105&lt;=0.8),D105,"")</f>
        <v/>
      </c>
      <c r="F105" s="5">
        <f>IF(ISNUMBER(E105),A105,"")</f>
        <v/>
      </c>
      <c r="G105" s="5">
        <f>IF(AND(ISNUMBER(E105),ISNUMBER($K$4)),E105-($K$7+$K$4*A105),"")</f>
        <v/>
      </c>
    </row>
    <row r="106">
      <c r="A106" s="4" t="n"/>
      <c r="B106" s="4" t="n"/>
      <c r="C106" s="5">
        <f>IF(AND(ISNUMBER(A106),ISNUMBER(B106),ISNUMBER($K$2),ISNUMBER($K$3),$K$3&gt;$K$2),(B106-$K$2)/($K$3-$K$2),"")</f>
        <v/>
      </c>
      <c r="D106" s="5">
        <f>IF(ISNUMBER(C106),IF(B106&lt;$K$3,LN(($K$3-$K$2)/($K$3-B106)),""),"")</f>
        <v/>
      </c>
      <c r="E106" s="5">
        <f>IF(AND(ISNUMBER(C106),ISNUMBER(D106),C106&gt;=0.2,C106&lt;=0.8),D106,"")</f>
        <v/>
      </c>
      <c r="F106" s="5">
        <f>IF(ISNUMBER(E106),A106,"")</f>
        <v/>
      </c>
      <c r="G106" s="5">
        <f>IF(AND(ISNUMBER(E106),ISNUMBER($K$4)),E106-($K$7+$K$4*A106),"")</f>
        <v/>
      </c>
    </row>
    <row r="107">
      <c r="A107" s="4" t="n"/>
      <c r="B107" s="4" t="n"/>
      <c r="C107" s="5">
        <f>IF(AND(ISNUMBER(A107),ISNUMBER(B107),ISNUMBER($K$2),ISNUMBER($K$3),$K$3&gt;$K$2),(B107-$K$2)/($K$3-$K$2),"")</f>
        <v/>
      </c>
      <c r="D107" s="5">
        <f>IF(ISNUMBER(C107),IF(B107&lt;$K$3,LN(($K$3-$K$2)/($K$3-B107)),""),"")</f>
        <v/>
      </c>
      <c r="E107" s="5">
        <f>IF(AND(ISNUMBER(C107),ISNUMBER(D107),C107&gt;=0.2,C107&lt;=0.8),D107,"")</f>
        <v/>
      </c>
      <c r="F107" s="5">
        <f>IF(ISNUMBER(E107),A107,"")</f>
        <v/>
      </c>
      <c r="G107" s="5">
        <f>IF(AND(ISNUMBER(E107),ISNUMBER($K$4)),E107-($K$7+$K$4*A107),"")</f>
        <v/>
      </c>
    </row>
    <row r="108">
      <c r="A108" s="4" t="n"/>
      <c r="B108" s="4" t="n"/>
      <c r="C108" s="5">
        <f>IF(AND(ISNUMBER(A108),ISNUMBER(B108),ISNUMBER($K$2),ISNUMBER($K$3),$K$3&gt;$K$2),(B108-$K$2)/($K$3-$K$2),"")</f>
        <v/>
      </c>
      <c r="D108" s="5">
        <f>IF(ISNUMBER(C108),IF(B108&lt;$K$3,LN(($K$3-$K$2)/($K$3-B108)),""),"")</f>
        <v/>
      </c>
      <c r="E108" s="5">
        <f>IF(AND(ISNUMBER(C108),ISNUMBER(D108),C108&gt;=0.2,C108&lt;=0.8),D108,"")</f>
        <v/>
      </c>
      <c r="F108" s="5">
        <f>IF(ISNUMBER(E108),A108,"")</f>
        <v/>
      </c>
      <c r="G108" s="5">
        <f>IF(AND(ISNUMBER(E108),ISNUMBER($K$4)),E108-($K$7+$K$4*A108),"")</f>
        <v/>
      </c>
    </row>
    <row r="109">
      <c r="A109" s="4" t="n"/>
      <c r="B109" s="4" t="n"/>
      <c r="C109" s="5">
        <f>IF(AND(ISNUMBER(A109),ISNUMBER(B109),ISNUMBER($K$2),ISNUMBER($K$3),$K$3&gt;$K$2),(B109-$K$2)/($K$3-$K$2),"")</f>
        <v/>
      </c>
      <c r="D109" s="5">
        <f>IF(ISNUMBER(C109),IF(B109&lt;$K$3,LN(($K$3-$K$2)/($K$3-B109)),""),"")</f>
        <v/>
      </c>
      <c r="E109" s="5">
        <f>IF(AND(ISNUMBER(C109),ISNUMBER(D109),C109&gt;=0.2,C109&lt;=0.8),D109,"")</f>
        <v/>
      </c>
      <c r="F109" s="5">
        <f>IF(ISNUMBER(E109),A109,"")</f>
        <v/>
      </c>
      <c r="G109" s="5">
        <f>IF(AND(ISNUMBER(E109),ISNUMBER($K$4)),E109-($K$7+$K$4*A109),"")</f>
        <v/>
      </c>
    </row>
    <row r="110">
      <c r="A110" s="4" t="n"/>
      <c r="B110" s="4" t="n"/>
      <c r="C110" s="5">
        <f>IF(AND(ISNUMBER(A110),ISNUMBER(B110),ISNUMBER($K$2),ISNUMBER($K$3),$K$3&gt;$K$2),(B110-$K$2)/($K$3-$K$2),"")</f>
        <v/>
      </c>
      <c r="D110" s="5">
        <f>IF(ISNUMBER(C110),IF(B110&lt;$K$3,LN(($K$3-$K$2)/($K$3-B110)),""),"")</f>
        <v/>
      </c>
      <c r="E110" s="5">
        <f>IF(AND(ISNUMBER(C110),ISNUMBER(D110),C110&gt;=0.2,C110&lt;=0.8),D110,"")</f>
        <v/>
      </c>
      <c r="F110" s="5">
        <f>IF(ISNUMBER(E110),A110,"")</f>
        <v/>
      </c>
      <c r="G110" s="5">
        <f>IF(AND(ISNUMBER(E110),ISNUMBER($K$4)),E110-($K$7+$K$4*A110),"")</f>
        <v/>
      </c>
    </row>
    <row r="111">
      <c r="A111" s="4" t="n"/>
      <c r="B111" s="4" t="n"/>
      <c r="C111" s="5">
        <f>IF(AND(ISNUMBER(A111),ISNUMBER(B111),ISNUMBER($K$2),ISNUMBER($K$3),$K$3&gt;$K$2),(B111-$K$2)/($K$3-$K$2),"")</f>
        <v/>
      </c>
      <c r="D111" s="5">
        <f>IF(ISNUMBER(C111),IF(B111&lt;$K$3,LN(($K$3-$K$2)/($K$3-B111)),""),"")</f>
        <v/>
      </c>
      <c r="E111" s="5">
        <f>IF(AND(ISNUMBER(C111),ISNUMBER(D111),C111&gt;=0.2,C111&lt;=0.8),D111,"")</f>
        <v/>
      </c>
      <c r="F111" s="5">
        <f>IF(ISNUMBER(E111),A111,"")</f>
        <v/>
      </c>
      <c r="G111" s="5">
        <f>IF(AND(ISNUMBER(E111),ISNUMBER($K$4)),E111-($K$7+$K$4*A111),"")</f>
        <v/>
      </c>
    </row>
    <row r="112">
      <c r="A112" s="4" t="n"/>
      <c r="B112" s="4" t="n"/>
      <c r="C112" s="5">
        <f>IF(AND(ISNUMBER(A112),ISNUMBER(B112),ISNUMBER($K$2),ISNUMBER($K$3),$K$3&gt;$K$2),(B112-$K$2)/($K$3-$K$2),"")</f>
        <v/>
      </c>
      <c r="D112" s="5">
        <f>IF(ISNUMBER(C112),IF(B112&lt;$K$3,LN(($K$3-$K$2)/($K$3-B112)),""),"")</f>
        <v/>
      </c>
      <c r="E112" s="5">
        <f>IF(AND(ISNUMBER(C112),ISNUMBER(D112),C112&gt;=0.2,C112&lt;=0.8),D112,"")</f>
        <v/>
      </c>
      <c r="F112" s="5">
        <f>IF(ISNUMBER(E112),A112,"")</f>
        <v/>
      </c>
      <c r="G112" s="5">
        <f>IF(AND(ISNUMBER(E112),ISNUMBER($K$4)),E112-($K$7+$K$4*A112),"")</f>
        <v/>
      </c>
    </row>
    <row r="113">
      <c r="A113" s="4" t="n"/>
      <c r="B113" s="4" t="n"/>
      <c r="C113" s="5">
        <f>IF(AND(ISNUMBER(A113),ISNUMBER(B113),ISNUMBER($K$2),ISNUMBER($K$3),$K$3&gt;$K$2),(B113-$K$2)/($K$3-$K$2),"")</f>
        <v/>
      </c>
      <c r="D113" s="5">
        <f>IF(ISNUMBER(C113),IF(B113&lt;$K$3,LN(($K$3-$K$2)/($K$3-B113)),""),"")</f>
        <v/>
      </c>
      <c r="E113" s="5">
        <f>IF(AND(ISNUMBER(C113),ISNUMBER(D113),C113&gt;=0.2,C113&lt;=0.8),D113,"")</f>
        <v/>
      </c>
      <c r="F113" s="5">
        <f>IF(ISNUMBER(E113),A113,"")</f>
        <v/>
      </c>
      <c r="G113" s="5">
        <f>IF(AND(ISNUMBER(E113),ISNUMBER($K$4)),E113-($K$7+$K$4*A113),"")</f>
        <v/>
      </c>
    </row>
    <row r="114">
      <c r="A114" s="4" t="n"/>
      <c r="B114" s="4" t="n"/>
      <c r="C114" s="5">
        <f>IF(AND(ISNUMBER(A114),ISNUMBER(B114),ISNUMBER($K$2),ISNUMBER($K$3),$K$3&gt;$K$2),(B114-$K$2)/($K$3-$K$2),"")</f>
        <v/>
      </c>
      <c r="D114" s="5">
        <f>IF(ISNUMBER(C114),IF(B114&lt;$K$3,LN(($K$3-$K$2)/($K$3-B114)),""),"")</f>
        <v/>
      </c>
      <c r="E114" s="5">
        <f>IF(AND(ISNUMBER(C114),ISNUMBER(D114),C114&gt;=0.2,C114&lt;=0.8),D114,"")</f>
        <v/>
      </c>
      <c r="F114" s="5">
        <f>IF(ISNUMBER(E114),A114,"")</f>
        <v/>
      </c>
      <c r="G114" s="5">
        <f>IF(AND(ISNUMBER(E114),ISNUMBER($K$4)),E114-($K$7+$K$4*A114),"")</f>
        <v/>
      </c>
    </row>
    <row r="115">
      <c r="A115" s="4" t="n"/>
      <c r="B115" s="4" t="n"/>
      <c r="C115" s="5">
        <f>IF(AND(ISNUMBER(A115),ISNUMBER(B115),ISNUMBER($K$2),ISNUMBER($K$3),$K$3&gt;$K$2),(B115-$K$2)/($K$3-$K$2),"")</f>
        <v/>
      </c>
      <c r="D115" s="5">
        <f>IF(ISNUMBER(C115),IF(B115&lt;$K$3,LN(($K$3-$K$2)/($K$3-B115)),""),"")</f>
        <v/>
      </c>
      <c r="E115" s="5">
        <f>IF(AND(ISNUMBER(C115),ISNUMBER(D115),C115&gt;=0.2,C115&lt;=0.8),D115,"")</f>
        <v/>
      </c>
      <c r="F115" s="5">
        <f>IF(ISNUMBER(E115),A115,"")</f>
        <v/>
      </c>
      <c r="G115" s="5">
        <f>IF(AND(ISNUMBER(E115),ISNUMBER($K$4)),E115-($K$7+$K$4*A115),"")</f>
        <v/>
      </c>
    </row>
    <row r="116">
      <c r="A116" s="4" t="n"/>
      <c r="B116" s="4" t="n"/>
      <c r="C116" s="5">
        <f>IF(AND(ISNUMBER(A116),ISNUMBER(B116),ISNUMBER($K$2),ISNUMBER($K$3),$K$3&gt;$K$2),(B116-$K$2)/($K$3-$K$2),"")</f>
        <v/>
      </c>
      <c r="D116" s="5">
        <f>IF(ISNUMBER(C116),IF(B116&lt;$K$3,LN(($K$3-$K$2)/($K$3-B116)),""),"")</f>
        <v/>
      </c>
      <c r="E116" s="5">
        <f>IF(AND(ISNUMBER(C116),ISNUMBER(D116),C116&gt;=0.2,C116&lt;=0.8),D116,"")</f>
        <v/>
      </c>
      <c r="F116" s="5">
        <f>IF(ISNUMBER(E116),A116,"")</f>
        <v/>
      </c>
      <c r="G116" s="5">
        <f>IF(AND(ISNUMBER(E116),ISNUMBER($K$4)),E116-($K$7+$K$4*A116),"")</f>
        <v/>
      </c>
    </row>
    <row r="117">
      <c r="A117" s="4" t="n"/>
      <c r="B117" s="4" t="n"/>
      <c r="C117" s="5">
        <f>IF(AND(ISNUMBER(A117),ISNUMBER(B117),ISNUMBER($K$2),ISNUMBER($K$3),$K$3&gt;$K$2),(B117-$K$2)/($K$3-$K$2),"")</f>
        <v/>
      </c>
      <c r="D117" s="5">
        <f>IF(ISNUMBER(C117),IF(B117&lt;$K$3,LN(($K$3-$K$2)/($K$3-B117)),""),"")</f>
        <v/>
      </c>
      <c r="E117" s="5">
        <f>IF(AND(ISNUMBER(C117),ISNUMBER(D117),C117&gt;=0.2,C117&lt;=0.8),D117,"")</f>
        <v/>
      </c>
      <c r="F117" s="5">
        <f>IF(ISNUMBER(E117),A117,"")</f>
        <v/>
      </c>
      <c r="G117" s="5">
        <f>IF(AND(ISNUMBER(E117),ISNUMBER($K$4)),E117-($K$7+$K$4*A117),"")</f>
        <v/>
      </c>
    </row>
    <row r="118">
      <c r="A118" s="4" t="n"/>
      <c r="B118" s="4" t="n"/>
      <c r="C118" s="5">
        <f>IF(AND(ISNUMBER(A118),ISNUMBER(B118),ISNUMBER($K$2),ISNUMBER($K$3),$K$3&gt;$K$2),(B118-$K$2)/($K$3-$K$2),"")</f>
        <v/>
      </c>
      <c r="D118" s="5">
        <f>IF(ISNUMBER(C118),IF(B118&lt;$K$3,LN(($K$3-$K$2)/($K$3-B118)),""),"")</f>
        <v/>
      </c>
      <c r="E118" s="5">
        <f>IF(AND(ISNUMBER(C118),ISNUMBER(D118),C118&gt;=0.2,C118&lt;=0.8),D118,"")</f>
        <v/>
      </c>
      <c r="F118" s="5">
        <f>IF(ISNUMBER(E118),A118,"")</f>
        <v/>
      </c>
      <c r="G118" s="5">
        <f>IF(AND(ISNUMBER(E118),ISNUMBER($K$4)),E118-($K$7+$K$4*A118),"")</f>
        <v/>
      </c>
    </row>
    <row r="119">
      <c r="A119" s="4" t="n"/>
      <c r="B119" s="4" t="n"/>
      <c r="C119" s="5">
        <f>IF(AND(ISNUMBER(A119),ISNUMBER(B119),ISNUMBER($K$2),ISNUMBER($K$3),$K$3&gt;$K$2),(B119-$K$2)/($K$3-$K$2),"")</f>
        <v/>
      </c>
      <c r="D119" s="5">
        <f>IF(ISNUMBER(C119),IF(B119&lt;$K$3,LN(($K$3-$K$2)/($K$3-B119)),""),"")</f>
        <v/>
      </c>
      <c r="E119" s="5">
        <f>IF(AND(ISNUMBER(C119),ISNUMBER(D119),C119&gt;=0.2,C119&lt;=0.8),D119,"")</f>
        <v/>
      </c>
      <c r="F119" s="5">
        <f>IF(ISNUMBER(E119),A119,"")</f>
        <v/>
      </c>
      <c r="G119" s="5">
        <f>IF(AND(ISNUMBER(E119),ISNUMBER($K$4)),E119-($K$7+$K$4*A119),"")</f>
        <v/>
      </c>
    </row>
    <row r="120">
      <c r="A120" s="4" t="n"/>
      <c r="B120" s="4" t="n"/>
      <c r="C120" s="5">
        <f>IF(AND(ISNUMBER(A120),ISNUMBER(B120),ISNUMBER($K$2),ISNUMBER($K$3),$K$3&gt;$K$2),(B120-$K$2)/($K$3-$K$2),"")</f>
        <v/>
      </c>
      <c r="D120" s="5">
        <f>IF(ISNUMBER(C120),IF(B120&lt;$K$3,LN(($K$3-$K$2)/($K$3-B120)),""),"")</f>
        <v/>
      </c>
      <c r="E120" s="5">
        <f>IF(AND(ISNUMBER(C120),ISNUMBER(D120),C120&gt;=0.2,C120&lt;=0.8),D120,"")</f>
        <v/>
      </c>
      <c r="F120" s="5">
        <f>IF(ISNUMBER(E120),A120,"")</f>
        <v/>
      </c>
      <c r="G120" s="5">
        <f>IF(AND(ISNUMBER(E120),ISNUMBER($K$4)),E120-($K$7+$K$4*A120),"")</f>
        <v/>
      </c>
    </row>
    <row r="121">
      <c r="A121" s="4" t="n"/>
      <c r="B121" s="4" t="n"/>
      <c r="C121" s="5">
        <f>IF(AND(ISNUMBER(A121),ISNUMBER(B121),ISNUMBER($K$2),ISNUMBER($K$3),$K$3&gt;$K$2),(B121-$K$2)/($K$3-$K$2),"")</f>
        <v/>
      </c>
      <c r="D121" s="5">
        <f>IF(ISNUMBER(C121),IF(B121&lt;$K$3,LN(($K$3-$K$2)/($K$3-B121)),""),"")</f>
        <v/>
      </c>
      <c r="E121" s="5">
        <f>IF(AND(ISNUMBER(C121),ISNUMBER(D121),C121&gt;=0.2,C121&lt;=0.8),D121,"")</f>
        <v/>
      </c>
      <c r="F121" s="5">
        <f>IF(ISNUMBER(E121),A121,"")</f>
        <v/>
      </c>
      <c r="G121" s="5">
        <f>IF(AND(ISNUMBER(E121),ISNUMBER($K$4)),E121-($K$7+$K$4*A121),"")</f>
        <v/>
      </c>
    </row>
    <row r="122">
      <c r="A122" s="4" t="n"/>
      <c r="B122" s="4" t="n"/>
      <c r="C122" s="5">
        <f>IF(AND(ISNUMBER(A122),ISNUMBER(B122),ISNUMBER($K$2),ISNUMBER($K$3),$K$3&gt;$K$2),(B122-$K$2)/($K$3-$K$2),"")</f>
        <v/>
      </c>
      <c r="D122" s="5">
        <f>IF(ISNUMBER(C122),IF(B122&lt;$K$3,LN(($K$3-$K$2)/($K$3-B122)),""),"")</f>
        <v/>
      </c>
      <c r="E122" s="5">
        <f>IF(AND(ISNUMBER(C122),ISNUMBER(D122),C122&gt;=0.2,C122&lt;=0.8),D122,"")</f>
        <v/>
      </c>
      <c r="F122" s="5">
        <f>IF(ISNUMBER(E122),A122,"")</f>
        <v/>
      </c>
      <c r="G122" s="5">
        <f>IF(AND(ISNUMBER(E122),ISNUMBER($K$4)),E122-($K$7+$K$4*A122),"")</f>
        <v/>
      </c>
    </row>
    <row r="123">
      <c r="A123" s="4" t="n"/>
      <c r="B123" s="4" t="n"/>
      <c r="C123" s="5">
        <f>IF(AND(ISNUMBER(A123),ISNUMBER(B123),ISNUMBER($K$2),ISNUMBER($K$3),$K$3&gt;$K$2),(B123-$K$2)/($K$3-$K$2),"")</f>
        <v/>
      </c>
      <c r="D123" s="5">
        <f>IF(ISNUMBER(C123),IF(B123&lt;$K$3,LN(($K$3-$K$2)/($K$3-B123)),""),"")</f>
        <v/>
      </c>
      <c r="E123" s="5">
        <f>IF(AND(ISNUMBER(C123),ISNUMBER(D123),C123&gt;=0.2,C123&lt;=0.8),D123,"")</f>
        <v/>
      </c>
      <c r="F123" s="5">
        <f>IF(ISNUMBER(E123),A123,"")</f>
        <v/>
      </c>
      <c r="G123" s="5">
        <f>IF(AND(ISNUMBER(E123),ISNUMBER($K$4)),E123-($K$7+$K$4*A123),"")</f>
        <v/>
      </c>
    </row>
    <row r="124">
      <c r="A124" s="4" t="n"/>
      <c r="B124" s="4" t="n"/>
      <c r="C124" s="5">
        <f>IF(AND(ISNUMBER(A124),ISNUMBER(B124),ISNUMBER($K$2),ISNUMBER($K$3),$K$3&gt;$K$2),(B124-$K$2)/($K$3-$K$2),"")</f>
        <v/>
      </c>
      <c r="D124" s="5">
        <f>IF(ISNUMBER(C124),IF(B124&lt;$K$3,LN(($K$3-$K$2)/($K$3-B124)),""),"")</f>
        <v/>
      </c>
      <c r="E124" s="5">
        <f>IF(AND(ISNUMBER(C124),ISNUMBER(D124),C124&gt;=0.2,C124&lt;=0.8),D124,"")</f>
        <v/>
      </c>
      <c r="F124" s="5">
        <f>IF(ISNUMBER(E124),A124,"")</f>
        <v/>
      </c>
      <c r="G124" s="5">
        <f>IF(AND(ISNUMBER(E124),ISNUMBER($K$4)),E124-($K$7+$K$4*A124),"")</f>
        <v/>
      </c>
    </row>
    <row r="125">
      <c r="A125" s="4" t="n"/>
      <c r="B125" s="4" t="n"/>
      <c r="C125" s="5">
        <f>IF(AND(ISNUMBER(A125),ISNUMBER(B125),ISNUMBER($K$2),ISNUMBER($K$3),$K$3&gt;$K$2),(B125-$K$2)/($K$3-$K$2),"")</f>
        <v/>
      </c>
      <c r="D125" s="5">
        <f>IF(ISNUMBER(C125),IF(B125&lt;$K$3,LN(($K$3-$K$2)/($K$3-B125)),""),"")</f>
        <v/>
      </c>
      <c r="E125" s="5">
        <f>IF(AND(ISNUMBER(C125),ISNUMBER(D125),C125&gt;=0.2,C125&lt;=0.8),D125,"")</f>
        <v/>
      </c>
      <c r="F125" s="5">
        <f>IF(ISNUMBER(E125),A125,"")</f>
        <v/>
      </c>
      <c r="G125" s="5">
        <f>IF(AND(ISNUMBER(E125),ISNUMBER($K$4)),E125-($K$7+$K$4*A125),"")</f>
        <v/>
      </c>
    </row>
    <row r="126">
      <c r="A126" s="4" t="n"/>
      <c r="B126" s="4" t="n"/>
      <c r="C126" s="5">
        <f>IF(AND(ISNUMBER(A126),ISNUMBER(B126),ISNUMBER($K$2),ISNUMBER($K$3),$K$3&gt;$K$2),(B126-$K$2)/($K$3-$K$2),"")</f>
        <v/>
      </c>
      <c r="D126" s="5">
        <f>IF(ISNUMBER(C126),IF(B126&lt;$K$3,LN(($K$3-$K$2)/($K$3-B126)),""),"")</f>
        <v/>
      </c>
      <c r="E126" s="5">
        <f>IF(AND(ISNUMBER(C126),ISNUMBER(D126),C126&gt;=0.2,C126&lt;=0.8),D126,"")</f>
        <v/>
      </c>
      <c r="F126" s="5">
        <f>IF(ISNUMBER(E126),A126,"")</f>
        <v/>
      </c>
      <c r="G126" s="5">
        <f>IF(AND(ISNUMBER(E126),ISNUMBER($K$4)),E126-($K$7+$K$4*A126),"")</f>
        <v/>
      </c>
    </row>
    <row r="127">
      <c r="A127" s="4" t="n"/>
      <c r="B127" s="4" t="n"/>
      <c r="C127" s="5">
        <f>IF(AND(ISNUMBER(A127),ISNUMBER(B127),ISNUMBER($K$2),ISNUMBER($K$3),$K$3&gt;$K$2),(B127-$K$2)/($K$3-$K$2),"")</f>
        <v/>
      </c>
      <c r="D127" s="5">
        <f>IF(ISNUMBER(C127),IF(B127&lt;$K$3,LN(($K$3-$K$2)/($K$3-B127)),""),"")</f>
        <v/>
      </c>
      <c r="E127" s="5">
        <f>IF(AND(ISNUMBER(C127),ISNUMBER(D127),C127&gt;=0.2,C127&lt;=0.8),D127,"")</f>
        <v/>
      </c>
      <c r="F127" s="5">
        <f>IF(ISNUMBER(E127),A127,"")</f>
        <v/>
      </c>
      <c r="G127" s="5">
        <f>IF(AND(ISNUMBER(E127),ISNUMBER($K$4)),E127-($K$7+$K$4*A127),"")</f>
        <v/>
      </c>
    </row>
    <row r="128">
      <c r="A128" s="4" t="n"/>
      <c r="B128" s="4" t="n"/>
      <c r="C128" s="5">
        <f>IF(AND(ISNUMBER(A128),ISNUMBER(B128),ISNUMBER($K$2),ISNUMBER($K$3),$K$3&gt;$K$2),(B128-$K$2)/($K$3-$K$2),"")</f>
        <v/>
      </c>
      <c r="D128" s="5">
        <f>IF(ISNUMBER(C128),IF(B128&lt;$K$3,LN(($K$3-$K$2)/($K$3-B128)),""),"")</f>
        <v/>
      </c>
      <c r="E128" s="5">
        <f>IF(AND(ISNUMBER(C128),ISNUMBER(D128),C128&gt;=0.2,C128&lt;=0.8),D128,"")</f>
        <v/>
      </c>
      <c r="F128" s="5">
        <f>IF(ISNUMBER(E128),A128,"")</f>
        <v/>
      </c>
      <c r="G128" s="5">
        <f>IF(AND(ISNUMBER(E128),ISNUMBER($K$4)),E128-($K$7+$K$4*A128),"")</f>
        <v/>
      </c>
    </row>
    <row r="129">
      <c r="A129" s="4" t="n"/>
      <c r="B129" s="4" t="n"/>
      <c r="C129" s="5">
        <f>IF(AND(ISNUMBER(A129),ISNUMBER(B129),ISNUMBER($K$2),ISNUMBER($K$3),$K$3&gt;$K$2),(B129-$K$2)/($K$3-$K$2),"")</f>
        <v/>
      </c>
      <c r="D129" s="5">
        <f>IF(ISNUMBER(C129),IF(B129&lt;$K$3,LN(($K$3-$K$2)/($K$3-B129)),""),"")</f>
        <v/>
      </c>
      <c r="E129" s="5">
        <f>IF(AND(ISNUMBER(C129),ISNUMBER(D129),C129&gt;=0.2,C129&lt;=0.8),D129,"")</f>
        <v/>
      </c>
      <c r="F129" s="5">
        <f>IF(ISNUMBER(E129),A129,"")</f>
        <v/>
      </c>
      <c r="G129" s="5">
        <f>IF(AND(ISNUMBER(E129),ISNUMBER($K$4)),E129-($K$7+$K$4*A129),"")</f>
        <v/>
      </c>
    </row>
    <row r="130">
      <c r="A130" s="4" t="n"/>
      <c r="B130" s="4" t="n"/>
      <c r="C130" s="5">
        <f>IF(AND(ISNUMBER(A130),ISNUMBER(B130),ISNUMBER($K$2),ISNUMBER($K$3),$K$3&gt;$K$2),(B130-$K$2)/($K$3-$K$2),"")</f>
        <v/>
      </c>
      <c r="D130" s="5">
        <f>IF(ISNUMBER(C130),IF(B130&lt;$K$3,LN(($K$3-$K$2)/($K$3-B130)),""),"")</f>
        <v/>
      </c>
      <c r="E130" s="5">
        <f>IF(AND(ISNUMBER(C130),ISNUMBER(D130),C130&gt;=0.2,C130&lt;=0.8),D130,"")</f>
        <v/>
      </c>
      <c r="F130" s="5">
        <f>IF(ISNUMBER(E130),A130,"")</f>
        <v/>
      </c>
      <c r="G130" s="5">
        <f>IF(AND(ISNUMBER(E130),ISNUMBER($K$4)),E130-($K$7+$K$4*A130),"")</f>
        <v/>
      </c>
    </row>
    <row r="131">
      <c r="A131" s="4" t="n"/>
      <c r="B131" s="4" t="n"/>
      <c r="C131" s="5">
        <f>IF(AND(ISNUMBER(A131),ISNUMBER(B131),ISNUMBER($K$2),ISNUMBER($K$3),$K$3&gt;$K$2),(B131-$K$2)/($K$3-$K$2),"")</f>
        <v/>
      </c>
      <c r="D131" s="5">
        <f>IF(ISNUMBER(C131),IF(B131&lt;$K$3,LN(($K$3-$K$2)/($K$3-B131)),""),"")</f>
        <v/>
      </c>
      <c r="E131" s="5">
        <f>IF(AND(ISNUMBER(C131),ISNUMBER(D131),C131&gt;=0.2,C131&lt;=0.8),D131,"")</f>
        <v/>
      </c>
      <c r="F131" s="5">
        <f>IF(ISNUMBER(E131),A131,"")</f>
        <v/>
      </c>
      <c r="G131" s="5">
        <f>IF(AND(ISNUMBER(E131),ISNUMBER($K$4)),E131-($K$7+$K$4*A131),"")</f>
        <v/>
      </c>
    </row>
    <row r="132">
      <c r="A132" s="4" t="n"/>
      <c r="B132" s="4" t="n"/>
      <c r="C132" s="5">
        <f>IF(AND(ISNUMBER(A132),ISNUMBER(B132),ISNUMBER($K$2),ISNUMBER($K$3),$K$3&gt;$K$2),(B132-$K$2)/($K$3-$K$2),"")</f>
        <v/>
      </c>
      <c r="D132" s="5">
        <f>IF(ISNUMBER(C132),IF(B132&lt;$K$3,LN(($K$3-$K$2)/($K$3-B132)),""),"")</f>
        <v/>
      </c>
      <c r="E132" s="5">
        <f>IF(AND(ISNUMBER(C132),ISNUMBER(D132),C132&gt;=0.2,C132&lt;=0.8),D132,"")</f>
        <v/>
      </c>
      <c r="F132" s="5">
        <f>IF(ISNUMBER(E132),A132,"")</f>
        <v/>
      </c>
      <c r="G132" s="5">
        <f>IF(AND(ISNUMBER(E132),ISNUMBER($K$4)),E132-($K$7+$K$4*A132),"")</f>
        <v/>
      </c>
    </row>
    <row r="133">
      <c r="A133" s="4" t="n"/>
      <c r="B133" s="4" t="n"/>
      <c r="C133" s="5">
        <f>IF(AND(ISNUMBER(A133),ISNUMBER(B133),ISNUMBER($K$2),ISNUMBER($K$3),$K$3&gt;$K$2),(B133-$K$2)/($K$3-$K$2),"")</f>
        <v/>
      </c>
      <c r="D133" s="5">
        <f>IF(ISNUMBER(C133),IF(B133&lt;$K$3,LN(($K$3-$K$2)/($K$3-B133)),""),"")</f>
        <v/>
      </c>
      <c r="E133" s="5">
        <f>IF(AND(ISNUMBER(C133),ISNUMBER(D133),C133&gt;=0.2,C133&lt;=0.8),D133,"")</f>
        <v/>
      </c>
      <c r="F133" s="5">
        <f>IF(ISNUMBER(E133),A133,"")</f>
        <v/>
      </c>
      <c r="G133" s="5">
        <f>IF(AND(ISNUMBER(E133),ISNUMBER($K$4)),E133-($K$7+$K$4*A133),"")</f>
        <v/>
      </c>
    </row>
    <row r="134">
      <c r="A134" s="4" t="n"/>
      <c r="B134" s="4" t="n"/>
      <c r="C134" s="5">
        <f>IF(AND(ISNUMBER(A134),ISNUMBER(B134),ISNUMBER($K$2),ISNUMBER($K$3),$K$3&gt;$K$2),(B134-$K$2)/($K$3-$K$2),"")</f>
        <v/>
      </c>
      <c r="D134" s="5">
        <f>IF(ISNUMBER(C134),IF(B134&lt;$K$3,LN(($K$3-$K$2)/($K$3-B134)),""),"")</f>
        <v/>
      </c>
      <c r="E134" s="5">
        <f>IF(AND(ISNUMBER(C134),ISNUMBER(D134),C134&gt;=0.2,C134&lt;=0.8),D134,"")</f>
        <v/>
      </c>
      <c r="F134" s="5">
        <f>IF(ISNUMBER(E134),A134,"")</f>
        <v/>
      </c>
      <c r="G134" s="5">
        <f>IF(AND(ISNUMBER(E134),ISNUMBER($K$4)),E134-($K$7+$K$4*A134),"")</f>
        <v/>
      </c>
    </row>
    <row r="135">
      <c r="A135" s="4" t="n"/>
      <c r="B135" s="4" t="n"/>
      <c r="C135" s="5">
        <f>IF(AND(ISNUMBER(A135),ISNUMBER(B135),ISNUMBER($K$2),ISNUMBER($K$3),$K$3&gt;$K$2),(B135-$K$2)/($K$3-$K$2),"")</f>
        <v/>
      </c>
      <c r="D135" s="5">
        <f>IF(ISNUMBER(C135),IF(B135&lt;$K$3,LN(($K$3-$K$2)/($K$3-B135)),""),"")</f>
        <v/>
      </c>
      <c r="E135" s="5">
        <f>IF(AND(ISNUMBER(C135),ISNUMBER(D135),C135&gt;=0.2,C135&lt;=0.8),D135,"")</f>
        <v/>
      </c>
      <c r="F135" s="5">
        <f>IF(ISNUMBER(E135),A135,"")</f>
        <v/>
      </c>
      <c r="G135" s="5">
        <f>IF(AND(ISNUMBER(E135),ISNUMBER($K$4)),E135-($K$7+$K$4*A135),"")</f>
        <v/>
      </c>
    </row>
    <row r="136">
      <c r="A136" s="4" t="n"/>
      <c r="B136" s="4" t="n"/>
      <c r="C136" s="5">
        <f>IF(AND(ISNUMBER(A136),ISNUMBER(B136),ISNUMBER($K$2),ISNUMBER($K$3),$K$3&gt;$K$2),(B136-$K$2)/($K$3-$K$2),"")</f>
        <v/>
      </c>
      <c r="D136" s="5">
        <f>IF(ISNUMBER(C136),IF(B136&lt;$K$3,LN(($K$3-$K$2)/($K$3-B136)),""),"")</f>
        <v/>
      </c>
      <c r="E136" s="5">
        <f>IF(AND(ISNUMBER(C136),ISNUMBER(D136),C136&gt;=0.2,C136&lt;=0.8),D136,"")</f>
        <v/>
      </c>
      <c r="F136" s="5">
        <f>IF(ISNUMBER(E136),A136,"")</f>
        <v/>
      </c>
      <c r="G136" s="5">
        <f>IF(AND(ISNUMBER(E136),ISNUMBER($K$4)),E136-($K$7+$K$4*A136),"")</f>
        <v/>
      </c>
    </row>
    <row r="137">
      <c r="A137" s="4" t="n"/>
      <c r="B137" s="4" t="n"/>
      <c r="C137" s="5">
        <f>IF(AND(ISNUMBER(A137),ISNUMBER(B137),ISNUMBER($K$2),ISNUMBER($K$3),$K$3&gt;$K$2),(B137-$K$2)/($K$3-$K$2),"")</f>
        <v/>
      </c>
      <c r="D137" s="5">
        <f>IF(ISNUMBER(C137),IF(B137&lt;$K$3,LN(($K$3-$K$2)/($K$3-B137)),""),"")</f>
        <v/>
      </c>
      <c r="E137" s="5">
        <f>IF(AND(ISNUMBER(C137),ISNUMBER(D137),C137&gt;=0.2,C137&lt;=0.8),D137,"")</f>
        <v/>
      </c>
      <c r="F137" s="5">
        <f>IF(ISNUMBER(E137),A137,"")</f>
        <v/>
      </c>
      <c r="G137" s="5">
        <f>IF(AND(ISNUMBER(E137),ISNUMBER($K$4)),E137-($K$7+$K$4*A137),"")</f>
        <v/>
      </c>
    </row>
    <row r="138">
      <c r="A138" s="4" t="n"/>
      <c r="B138" s="4" t="n"/>
      <c r="C138" s="5">
        <f>IF(AND(ISNUMBER(A138),ISNUMBER(B138),ISNUMBER($K$2),ISNUMBER($K$3),$K$3&gt;$K$2),(B138-$K$2)/($K$3-$K$2),"")</f>
        <v/>
      </c>
      <c r="D138" s="5">
        <f>IF(ISNUMBER(C138),IF(B138&lt;$K$3,LN(($K$3-$K$2)/($K$3-B138)),""),"")</f>
        <v/>
      </c>
      <c r="E138" s="5">
        <f>IF(AND(ISNUMBER(C138),ISNUMBER(D138),C138&gt;=0.2,C138&lt;=0.8),D138,"")</f>
        <v/>
      </c>
      <c r="F138" s="5">
        <f>IF(ISNUMBER(E138),A138,"")</f>
        <v/>
      </c>
      <c r="G138" s="5">
        <f>IF(AND(ISNUMBER(E138),ISNUMBER($K$4)),E138-($K$7+$K$4*A138),"")</f>
        <v/>
      </c>
    </row>
    <row r="139">
      <c r="A139" s="4" t="n"/>
      <c r="B139" s="4" t="n"/>
      <c r="C139" s="5">
        <f>IF(AND(ISNUMBER(A139),ISNUMBER(B139),ISNUMBER($K$2),ISNUMBER($K$3),$K$3&gt;$K$2),(B139-$K$2)/($K$3-$K$2),"")</f>
        <v/>
      </c>
      <c r="D139" s="5">
        <f>IF(ISNUMBER(C139),IF(B139&lt;$K$3,LN(($K$3-$K$2)/($K$3-B139)),""),"")</f>
        <v/>
      </c>
      <c r="E139" s="5">
        <f>IF(AND(ISNUMBER(C139),ISNUMBER(D139),C139&gt;=0.2,C139&lt;=0.8),D139,"")</f>
        <v/>
      </c>
      <c r="F139" s="5">
        <f>IF(ISNUMBER(E139),A139,"")</f>
        <v/>
      </c>
      <c r="G139" s="5">
        <f>IF(AND(ISNUMBER(E139),ISNUMBER($K$4)),E139-($K$7+$K$4*A139),"")</f>
        <v/>
      </c>
    </row>
    <row r="140">
      <c r="A140" s="4" t="n"/>
      <c r="B140" s="4" t="n"/>
      <c r="C140" s="5">
        <f>IF(AND(ISNUMBER(A140),ISNUMBER(B140),ISNUMBER($K$2),ISNUMBER($K$3),$K$3&gt;$K$2),(B140-$K$2)/($K$3-$K$2),"")</f>
        <v/>
      </c>
      <c r="D140" s="5">
        <f>IF(ISNUMBER(C140),IF(B140&lt;$K$3,LN(($K$3-$K$2)/($K$3-B140)),""),"")</f>
        <v/>
      </c>
      <c r="E140" s="5">
        <f>IF(AND(ISNUMBER(C140),ISNUMBER(D140),C140&gt;=0.2,C140&lt;=0.8),D140,"")</f>
        <v/>
      </c>
      <c r="F140" s="5">
        <f>IF(ISNUMBER(E140),A140,"")</f>
        <v/>
      </c>
      <c r="G140" s="5">
        <f>IF(AND(ISNUMBER(E140),ISNUMBER($K$4)),E140-($K$7+$K$4*A140),"")</f>
        <v/>
      </c>
    </row>
    <row r="141">
      <c r="A141" s="4" t="n"/>
      <c r="B141" s="4" t="n"/>
      <c r="C141" s="5">
        <f>IF(AND(ISNUMBER(A141),ISNUMBER(B141),ISNUMBER($K$2),ISNUMBER($K$3),$K$3&gt;$K$2),(B141-$K$2)/($K$3-$K$2),"")</f>
        <v/>
      </c>
      <c r="D141" s="5">
        <f>IF(ISNUMBER(C141),IF(B141&lt;$K$3,LN(($K$3-$K$2)/($K$3-B141)),""),"")</f>
        <v/>
      </c>
      <c r="E141" s="5">
        <f>IF(AND(ISNUMBER(C141),ISNUMBER(D141),C141&gt;=0.2,C141&lt;=0.8),D141,"")</f>
        <v/>
      </c>
      <c r="F141" s="5">
        <f>IF(ISNUMBER(E141),A141,"")</f>
        <v/>
      </c>
      <c r="G141" s="5">
        <f>IF(AND(ISNUMBER(E141),ISNUMBER($K$4)),E141-($K$7+$K$4*A141),"")</f>
        <v/>
      </c>
    </row>
    <row r="142">
      <c r="A142" s="4" t="n"/>
      <c r="B142" s="4" t="n"/>
      <c r="C142" s="5">
        <f>IF(AND(ISNUMBER(A142),ISNUMBER(B142),ISNUMBER($K$2),ISNUMBER($K$3),$K$3&gt;$K$2),(B142-$K$2)/($K$3-$K$2),"")</f>
        <v/>
      </c>
      <c r="D142" s="5">
        <f>IF(ISNUMBER(C142),IF(B142&lt;$K$3,LN(($K$3-$K$2)/($K$3-B142)),""),"")</f>
        <v/>
      </c>
      <c r="E142" s="5">
        <f>IF(AND(ISNUMBER(C142),ISNUMBER(D142),C142&gt;=0.2,C142&lt;=0.8),D142,"")</f>
        <v/>
      </c>
      <c r="F142" s="5">
        <f>IF(ISNUMBER(E142),A142,"")</f>
        <v/>
      </c>
      <c r="G142" s="5">
        <f>IF(AND(ISNUMBER(E142),ISNUMBER($K$4)),E142-($K$7+$K$4*A142),"")</f>
        <v/>
      </c>
    </row>
    <row r="143">
      <c r="A143" s="4" t="n"/>
      <c r="B143" s="4" t="n"/>
      <c r="C143" s="5">
        <f>IF(AND(ISNUMBER(A143),ISNUMBER(B143),ISNUMBER($K$2),ISNUMBER($K$3),$K$3&gt;$K$2),(B143-$K$2)/($K$3-$K$2),"")</f>
        <v/>
      </c>
      <c r="D143" s="5">
        <f>IF(ISNUMBER(C143),IF(B143&lt;$K$3,LN(($K$3-$K$2)/($K$3-B143)),""),"")</f>
        <v/>
      </c>
      <c r="E143" s="5">
        <f>IF(AND(ISNUMBER(C143),ISNUMBER(D143),C143&gt;=0.2,C143&lt;=0.8),D143,"")</f>
        <v/>
      </c>
      <c r="F143" s="5">
        <f>IF(ISNUMBER(E143),A143,"")</f>
        <v/>
      </c>
      <c r="G143" s="5">
        <f>IF(AND(ISNUMBER(E143),ISNUMBER($K$4)),E143-($K$7+$K$4*A143),"")</f>
        <v/>
      </c>
    </row>
    <row r="144">
      <c r="A144" s="4" t="n"/>
      <c r="B144" s="4" t="n"/>
      <c r="C144" s="5">
        <f>IF(AND(ISNUMBER(A144),ISNUMBER(B144),ISNUMBER($K$2),ISNUMBER($K$3),$K$3&gt;$K$2),(B144-$K$2)/($K$3-$K$2),"")</f>
        <v/>
      </c>
      <c r="D144" s="5">
        <f>IF(ISNUMBER(C144),IF(B144&lt;$K$3,LN(($K$3-$K$2)/($K$3-B144)),""),"")</f>
        <v/>
      </c>
      <c r="E144" s="5">
        <f>IF(AND(ISNUMBER(C144),ISNUMBER(D144),C144&gt;=0.2,C144&lt;=0.8),D144,"")</f>
        <v/>
      </c>
      <c r="F144" s="5">
        <f>IF(ISNUMBER(E144),A144,"")</f>
        <v/>
      </c>
      <c r="G144" s="5">
        <f>IF(AND(ISNUMBER(E144),ISNUMBER($K$4)),E144-($K$7+$K$4*A144),"")</f>
        <v/>
      </c>
    </row>
    <row r="145">
      <c r="A145" s="4" t="n"/>
      <c r="B145" s="4" t="n"/>
      <c r="C145" s="5">
        <f>IF(AND(ISNUMBER(A145),ISNUMBER(B145),ISNUMBER($K$2),ISNUMBER($K$3),$K$3&gt;$K$2),(B145-$K$2)/($K$3-$K$2),"")</f>
        <v/>
      </c>
      <c r="D145" s="5">
        <f>IF(ISNUMBER(C145),IF(B145&lt;$K$3,LN(($K$3-$K$2)/($K$3-B145)),""),"")</f>
        <v/>
      </c>
      <c r="E145" s="5">
        <f>IF(AND(ISNUMBER(C145),ISNUMBER(D145),C145&gt;=0.2,C145&lt;=0.8),D145,"")</f>
        <v/>
      </c>
      <c r="F145" s="5">
        <f>IF(ISNUMBER(E145),A145,"")</f>
        <v/>
      </c>
      <c r="G145" s="5">
        <f>IF(AND(ISNUMBER(E145),ISNUMBER($K$4)),E145-($K$7+$K$4*A145),"")</f>
        <v/>
      </c>
    </row>
    <row r="146">
      <c r="A146" s="4" t="n"/>
      <c r="B146" s="4" t="n"/>
      <c r="C146" s="5">
        <f>IF(AND(ISNUMBER(A146),ISNUMBER(B146),ISNUMBER($K$2),ISNUMBER($K$3),$K$3&gt;$K$2),(B146-$K$2)/($K$3-$K$2),"")</f>
        <v/>
      </c>
      <c r="D146" s="5">
        <f>IF(ISNUMBER(C146),IF(B146&lt;$K$3,LN(($K$3-$K$2)/($K$3-B146)),""),"")</f>
        <v/>
      </c>
      <c r="E146" s="5">
        <f>IF(AND(ISNUMBER(C146),ISNUMBER(D146),C146&gt;=0.2,C146&lt;=0.8),D146,"")</f>
        <v/>
      </c>
      <c r="F146" s="5">
        <f>IF(ISNUMBER(E146),A146,"")</f>
        <v/>
      </c>
      <c r="G146" s="5">
        <f>IF(AND(ISNUMBER(E146),ISNUMBER($K$4)),E146-($K$7+$K$4*A146),"")</f>
        <v/>
      </c>
    </row>
    <row r="147">
      <c r="A147" s="4" t="n"/>
      <c r="B147" s="4" t="n"/>
      <c r="C147" s="5">
        <f>IF(AND(ISNUMBER(A147),ISNUMBER(B147),ISNUMBER($K$2),ISNUMBER($K$3),$K$3&gt;$K$2),(B147-$K$2)/($K$3-$K$2),"")</f>
        <v/>
      </c>
      <c r="D147" s="5">
        <f>IF(ISNUMBER(C147),IF(B147&lt;$K$3,LN(($K$3-$K$2)/($K$3-B147)),""),"")</f>
        <v/>
      </c>
      <c r="E147" s="5">
        <f>IF(AND(ISNUMBER(C147),ISNUMBER(D147),C147&gt;=0.2,C147&lt;=0.8),D147,"")</f>
        <v/>
      </c>
      <c r="F147" s="5">
        <f>IF(ISNUMBER(E147),A147,"")</f>
        <v/>
      </c>
      <c r="G147" s="5">
        <f>IF(AND(ISNUMBER(E147),ISNUMBER($K$4)),E147-($K$7+$K$4*A147),"")</f>
        <v/>
      </c>
    </row>
    <row r="148">
      <c r="A148" s="4" t="n"/>
      <c r="B148" s="4" t="n"/>
      <c r="C148" s="5">
        <f>IF(AND(ISNUMBER(A148),ISNUMBER(B148),ISNUMBER($K$2),ISNUMBER($K$3),$K$3&gt;$K$2),(B148-$K$2)/($K$3-$K$2),"")</f>
        <v/>
      </c>
      <c r="D148" s="5">
        <f>IF(ISNUMBER(C148),IF(B148&lt;$K$3,LN(($K$3-$K$2)/($K$3-B148)),""),"")</f>
        <v/>
      </c>
      <c r="E148" s="5">
        <f>IF(AND(ISNUMBER(C148),ISNUMBER(D148),C148&gt;=0.2,C148&lt;=0.8),D148,"")</f>
        <v/>
      </c>
      <c r="F148" s="5">
        <f>IF(ISNUMBER(E148),A148,"")</f>
        <v/>
      </c>
      <c r="G148" s="5">
        <f>IF(AND(ISNUMBER(E148),ISNUMBER($K$4)),E148-($K$7+$K$4*A148),"")</f>
        <v/>
      </c>
    </row>
    <row r="149">
      <c r="A149" s="4" t="n"/>
      <c r="B149" s="4" t="n"/>
      <c r="C149" s="5">
        <f>IF(AND(ISNUMBER(A149),ISNUMBER(B149),ISNUMBER($K$2),ISNUMBER($K$3),$K$3&gt;$K$2),(B149-$K$2)/($K$3-$K$2),"")</f>
        <v/>
      </c>
      <c r="D149" s="5">
        <f>IF(ISNUMBER(C149),IF(B149&lt;$K$3,LN(($K$3-$K$2)/($K$3-B149)),""),"")</f>
        <v/>
      </c>
      <c r="E149" s="5">
        <f>IF(AND(ISNUMBER(C149),ISNUMBER(D149),C149&gt;=0.2,C149&lt;=0.8),D149,"")</f>
        <v/>
      </c>
      <c r="F149" s="5">
        <f>IF(ISNUMBER(E149),A149,"")</f>
        <v/>
      </c>
      <c r="G149" s="5">
        <f>IF(AND(ISNUMBER(E149),ISNUMBER($K$4)),E149-($K$7+$K$4*A149),"")</f>
        <v/>
      </c>
    </row>
    <row r="150">
      <c r="A150" s="4" t="n"/>
      <c r="B150" s="4" t="n"/>
      <c r="C150" s="5">
        <f>IF(AND(ISNUMBER(A150),ISNUMBER(B150),ISNUMBER($K$2),ISNUMBER($K$3),$K$3&gt;$K$2),(B150-$K$2)/($K$3-$K$2),"")</f>
        <v/>
      </c>
      <c r="D150" s="5">
        <f>IF(ISNUMBER(C150),IF(B150&lt;$K$3,LN(($K$3-$K$2)/($K$3-B150)),""),"")</f>
        <v/>
      </c>
      <c r="E150" s="5">
        <f>IF(AND(ISNUMBER(C150),ISNUMBER(D150),C150&gt;=0.2,C150&lt;=0.8),D150,"")</f>
        <v/>
      </c>
      <c r="F150" s="5">
        <f>IF(ISNUMBER(E150),A150,"")</f>
        <v/>
      </c>
      <c r="G150" s="5">
        <f>IF(AND(ISNUMBER(E150),ISNUMBER($K$4)),E150-($K$7+$K$4*A150),"")</f>
        <v/>
      </c>
    </row>
    <row r="151">
      <c r="A151" s="4" t="n"/>
      <c r="B151" s="4" t="n"/>
      <c r="C151" s="5">
        <f>IF(AND(ISNUMBER(A151),ISNUMBER(B151),ISNUMBER($K$2),ISNUMBER($K$3),$K$3&gt;$K$2),(B151-$K$2)/($K$3-$K$2),"")</f>
        <v/>
      </c>
      <c r="D151" s="5">
        <f>IF(ISNUMBER(C151),IF(B151&lt;$K$3,LN(($K$3-$K$2)/($K$3-B151)),""),"")</f>
        <v/>
      </c>
      <c r="E151" s="5">
        <f>IF(AND(ISNUMBER(C151),ISNUMBER(D151),C151&gt;=0.2,C151&lt;=0.8),D151,"")</f>
        <v/>
      </c>
      <c r="F151" s="5">
        <f>IF(ISNUMBER(E151),A151,"")</f>
        <v/>
      </c>
      <c r="G151" s="5">
        <f>IF(AND(ISNUMBER(E151),ISNUMBER($K$4)),E151-($K$7+$K$4*A151),"")</f>
        <v/>
      </c>
    </row>
    <row r="152">
      <c r="A152" s="4" t="n"/>
      <c r="B152" s="4" t="n"/>
      <c r="C152" s="5">
        <f>IF(AND(ISNUMBER(A152),ISNUMBER(B152),ISNUMBER($K$2),ISNUMBER($K$3),$K$3&gt;$K$2),(B152-$K$2)/($K$3-$K$2),"")</f>
        <v/>
      </c>
      <c r="D152" s="5">
        <f>IF(ISNUMBER(C152),IF(B152&lt;$K$3,LN(($K$3-$K$2)/($K$3-B152)),""),"")</f>
        <v/>
      </c>
      <c r="E152" s="5">
        <f>IF(AND(ISNUMBER(C152),ISNUMBER(D152),C152&gt;=0.2,C152&lt;=0.8),D152,"")</f>
        <v/>
      </c>
      <c r="F152" s="5">
        <f>IF(ISNUMBER(E152),A152,"")</f>
        <v/>
      </c>
      <c r="G152" s="5">
        <f>IF(AND(ISNUMBER(E152),ISNUMBER($K$4)),E152-($K$7+$K$4*A152),"")</f>
        <v/>
      </c>
    </row>
    <row r="153">
      <c r="A153" s="4" t="n"/>
      <c r="B153" s="4" t="n"/>
      <c r="C153" s="5">
        <f>IF(AND(ISNUMBER(A153),ISNUMBER(B153),ISNUMBER($K$2),ISNUMBER($K$3),$K$3&gt;$K$2),(B153-$K$2)/($K$3-$K$2),"")</f>
        <v/>
      </c>
      <c r="D153" s="5">
        <f>IF(ISNUMBER(C153),IF(B153&lt;$K$3,LN(($K$3-$K$2)/($K$3-B153)),""),"")</f>
        <v/>
      </c>
      <c r="E153" s="5">
        <f>IF(AND(ISNUMBER(C153),ISNUMBER(D153),C153&gt;=0.2,C153&lt;=0.8),D153,"")</f>
        <v/>
      </c>
      <c r="F153" s="5">
        <f>IF(ISNUMBER(E153),A153,"")</f>
        <v/>
      </c>
      <c r="G153" s="5">
        <f>IF(AND(ISNUMBER(E153),ISNUMBER($K$4)),E153-($K$7+$K$4*A153),"")</f>
        <v/>
      </c>
    </row>
    <row r="154">
      <c r="A154" s="4" t="n"/>
      <c r="B154" s="4" t="n"/>
      <c r="C154" s="5">
        <f>IF(AND(ISNUMBER(A154),ISNUMBER(B154),ISNUMBER($K$2),ISNUMBER($K$3),$K$3&gt;$K$2),(B154-$K$2)/($K$3-$K$2),"")</f>
        <v/>
      </c>
      <c r="D154" s="5">
        <f>IF(ISNUMBER(C154),IF(B154&lt;$K$3,LN(($K$3-$K$2)/($K$3-B154)),""),"")</f>
        <v/>
      </c>
      <c r="E154" s="5">
        <f>IF(AND(ISNUMBER(C154),ISNUMBER(D154),C154&gt;=0.2,C154&lt;=0.8),D154,"")</f>
        <v/>
      </c>
      <c r="F154" s="5">
        <f>IF(ISNUMBER(E154),A154,"")</f>
        <v/>
      </c>
      <c r="G154" s="5">
        <f>IF(AND(ISNUMBER(E154),ISNUMBER($K$4)),E154-($K$7+$K$4*A154),"")</f>
        <v/>
      </c>
    </row>
    <row r="155">
      <c r="A155" s="4" t="n"/>
      <c r="B155" s="4" t="n"/>
      <c r="C155" s="5">
        <f>IF(AND(ISNUMBER(A155),ISNUMBER(B155),ISNUMBER($K$2),ISNUMBER($K$3),$K$3&gt;$K$2),(B155-$K$2)/($K$3-$K$2),"")</f>
        <v/>
      </c>
      <c r="D155" s="5">
        <f>IF(ISNUMBER(C155),IF(B155&lt;$K$3,LN(($K$3-$K$2)/($K$3-B155)),""),"")</f>
        <v/>
      </c>
      <c r="E155" s="5">
        <f>IF(AND(ISNUMBER(C155),ISNUMBER(D155),C155&gt;=0.2,C155&lt;=0.8),D155,"")</f>
        <v/>
      </c>
      <c r="F155" s="5">
        <f>IF(ISNUMBER(E155),A155,"")</f>
        <v/>
      </c>
      <c r="G155" s="5">
        <f>IF(AND(ISNUMBER(E155),ISNUMBER($K$4)),E155-($K$7+$K$4*A155),"")</f>
        <v/>
      </c>
    </row>
    <row r="156">
      <c r="A156" s="4" t="n"/>
      <c r="B156" s="4" t="n"/>
      <c r="C156" s="5">
        <f>IF(AND(ISNUMBER(A156),ISNUMBER(B156),ISNUMBER($K$2),ISNUMBER($K$3),$K$3&gt;$K$2),(B156-$K$2)/($K$3-$K$2),"")</f>
        <v/>
      </c>
      <c r="D156" s="5">
        <f>IF(ISNUMBER(C156),IF(B156&lt;$K$3,LN(($K$3-$K$2)/($K$3-B156)),""),"")</f>
        <v/>
      </c>
      <c r="E156" s="5">
        <f>IF(AND(ISNUMBER(C156),ISNUMBER(D156),C156&gt;=0.2,C156&lt;=0.8),D156,"")</f>
        <v/>
      </c>
      <c r="F156" s="5">
        <f>IF(ISNUMBER(E156),A156,"")</f>
        <v/>
      </c>
      <c r="G156" s="5">
        <f>IF(AND(ISNUMBER(E156),ISNUMBER($K$4)),E156-($K$7+$K$4*A156),"")</f>
        <v/>
      </c>
    </row>
    <row r="157">
      <c r="A157" s="4" t="n"/>
      <c r="B157" s="4" t="n"/>
      <c r="C157" s="5">
        <f>IF(AND(ISNUMBER(A157),ISNUMBER(B157),ISNUMBER($K$2),ISNUMBER($K$3),$K$3&gt;$K$2),(B157-$K$2)/($K$3-$K$2),"")</f>
        <v/>
      </c>
      <c r="D157" s="5">
        <f>IF(ISNUMBER(C157),IF(B157&lt;$K$3,LN(($K$3-$K$2)/($K$3-B157)),""),"")</f>
        <v/>
      </c>
      <c r="E157" s="5">
        <f>IF(AND(ISNUMBER(C157),ISNUMBER(D157),C157&gt;=0.2,C157&lt;=0.8),D157,"")</f>
        <v/>
      </c>
      <c r="F157" s="5">
        <f>IF(ISNUMBER(E157),A157,"")</f>
        <v/>
      </c>
      <c r="G157" s="5">
        <f>IF(AND(ISNUMBER(E157),ISNUMBER($K$4)),E157-($K$7+$K$4*A157),"")</f>
        <v/>
      </c>
    </row>
    <row r="158">
      <c r="A158" s="4" t="n"/>
      <c r="B158" s="4" t="n"/>
      <c r="C158" s="5">
        <f>IF(AND(ISNUMBER(A158),ISNUMBER(B158),ISNUMBER($K$2),ISNUMBER($K$3),$K$3&gt;$K$2),(B158-$K$2)/($K$3-$K$2),"")</f>
        <v/>
      </c>
      <c r="D158" s="5">
        <f>IF(ISNUMBER(C158),IF(B158&lt;$K$3,LN(($K$3-$K$2)/($K$3-B158)),""),"")</f>
        <v/>
      </c>
      <c r="E158" s="5">
        <f>IF(AND(ISNUMBER(C158),ISNUMBER(D158),C158&gt;=0.2,C158&lt;=0.8),D158,"")</f>
        <v/>
      </c>
      <c r="F158" s="5">
        <f>IF(ISNUMBER(E158),A158,"")</f>
        <v/>
      </c>
      <c r="G158" s="5">
        <f>IF(AND(ISNUMBER(E158),ISNUMBER($K$4)),E158-($K$7+$K$4*A158),"")</f>
        <v/>
      </c>
    </row>
    <row r="159">
      <c r="A159" s="4" t="n"/>
      <c r="B159" s="4" t="n"/>
      <c r="C159" s="5">
        <f>IF(AND(ISNUMBER(A159),ISNUMBER(B159),ISNUMBER($K$2),ISNUMBER($K$3),$K$3&gt;$K$2),(B159-$K$2)/($K$3-$K$2),"")</f>
        <v/>
      </c>
      <c r="D159" s="5">
        <f>IF(ISNUMBER(C159),IF(B159&lt;$K$3,LN(($K$3-$K$2)/($K$3-B159)),""),"")</f>
        <v/>
      </c>
      <c r="E159" s="5">
        <f>IF(AND(ISNUMBER(C159),ISNUMBER(D159),C159&gt;=0.2,C159&lt;=0.8),D159,"")</f>
        <v/>
      </c>
      <c r="F159" s="5">
        <f>IF(ISNUMBER(E159),A159,"")</f>
        <v/>
      </c>
      <c r="G159" s="5">
        <f>IF(AND(ISNUMBER(E159),ISNUMBER($K$4)),E159-($K$7+$K$4*A159),"")</f>
        <v/>
      </c>
    </row>
    <row r="160">
      <c r="A160" s="4" t="n"/>
      <c r="B160" s="4" t="n"/>
      <c r="C160" s="5">
        <f>IF(AND(ISNUMBER(A160),ISNUMBER(B160),ISNUMBER($K$2),ISNUMBER($K$3),$K$3&gt;$K$2),(B160-$K$2)/($K$3-$K$2),"")</f>
        <v/>
      </c>
      <c r="D160" s="5">
        <f>IF(ISNUMBER(C160),IF(B160&lt;$K$3,LN(($K$3-$K$2)/($K$3-B160)),""),"")</f>
        <v/>
      </c>
      <c r="E160" s="5">
        <f>IF(AND(ISNUMBER(C160),ISNUMBER(D160),C160&gt;=0.2,C160&lt;=0.8),D160,"")</f>
        <v/>
      </c>
      <c r="F160" s="5">
        <f>IF(ISNUMBER(E160),A160,"")</f>
        <v/>
      </c>
      <c r="G160" s="5">
        <f>IF(AND(ISNUMBER(E160),ISNUMBER($K$4)),E160-($K$7+$K$4*A160),"")</f>
        <v/>
      </c>
    </row>
    <row r="161">
      <c r="A161" s="4" t="n"/>
      <c r="B161" s="4" t="n"/>
      <c r="C161" s="5">
        <f>IF(AND(ISNUMBER(A161),ISNUMBER(B161),ISNUMBER($K$2),ISNUMBER($K$3),$K$3&gt;$K$2),(B161-$K$2)/($K$3-$K$2),"")</f>
        <v/>
      </c>
      <c r="D161" s="5">
        <f>IF(ISNUMBER(C161),IF(B161&lt;$K$3,LN(($K$3-$K$2)/($K$3-B161)),""),"")</f>
        <v/>
      </c>
      <c r="E161" s="5">
        <f>IF(AND(ISNUMBER(C161),ISNUMBER(D161),C161&gt;=0.2,C161&lt;=0.8),D161,"")</f>
        <v/>
      </c>
      <c r="F161" s="5">
        <f>IF(ISNUMBER(E161),A161,"")</f>
        <v/>
      </c>
      <c r="G161" s="5">
        <f>IF(AND(ISNUMBER(E161),ISNUMBER($K$4)),E161-($K$7+$K$4*A161),"")</f>
        <v/>
      </c>
    </row>
    <row r="162">
      <c r="A162" s="4" t="n"/>
      <c r="B162" s="4" t="n"/>
      <c r="C162" s="5">
        <f>IF(AND(ISNUMBER(A162),ISNUMBER(B162),ISNUMBER($K$2),ISNUMBER($K$3),$K$3&gt;$K$2),(B162-$K$2)/($K$3-$K$2),"")</f>
        <v/>
      </c>
      <c r="D162" s="5">
        <f>IF(ISNUMBER(C162),IF(B162&lt;$K$3,LN(($K$3-$K$2)/($K$3-B162)),""),"")</f>
        <v/>
      </c>
      <c r="E162" s="5">
        <f>IF(AND(ISNUMBER(C162),ISNUMBER(D162),C162&gt;=0.2,C162&lt;=0.8),D162,"")</f>
        <v/>
      </c>
      <c r="F162" s="5">
        <f>IF(ISNUMBER(E162),A162,"")</f>
        <v/>
      </c>
      <c r="G162" s="5">
        <f>IF(AND(ISNUMBER(E162),ISNUMBER($K$4)),E162-($K$7+$K$4*A162),"")</f>
        <v/>
      </c>
    </row>
    <row r="163">
      <c r="A163" s="4" t="n"/>
      <c r="B163" s="4" t="n"/>
      <c r="C163" s="5">
        <f>IF(AND(ISNUMBER(A163),ISNUMBER(B163),ISNUMBER($K$2),ISNUMBER($K$3),$K$3&gt;$K$2),(B163-$K$2)/($K$3-$K$2),"")</f>
        <v/>
      </c>
      <c r="D163" s="5">
        <f>IF(ISNUMBER(C163),IF(B163&lt;$K$3,LN(($K$3-$K$2)/($K$3-B163)),""),"")</f>
        <v/>
      </c>
      <c r="E163" s="5">
        <f>IF(AND(ISNUMBER(C163),ISNUMBER(D163),C163&gt;=0.2,C163&lt;=0.8),D163,"")</f>
        <v/>
      </c>
      <c r="F163" s="5">
        <f>IF(ISNUMBER(E163),A163,"")</f>
        <v/>
      </c>
      <c r="G163" s="5">
        <f>IF(AND(ISNUMBER(E163),ISNUMBER($K$4)),E163-($K$7+$K$4*A163),"")</f>
        <v/>
      </c>
    </row>
    <row r="164">
      <c r="A164" s="4" t="n"/>
      <c r="B164" s="4" t="n"/>
      <c r="C164" s="5">
        <f>IF(AND(ISNUMBER(A164),ISNUMBER(B164),ISNUMBER($K$2),ISNUMBER($K$3),$K$3&gt;$K$2),(B164-$K$2)/($K$3-$K$2),"")</f>
        <v/>
      </c>
      <c r="D164" s="5">
        <f>IF(ISNUMBER(C164),IF(B164&lt;$K$3,LN(($K$3-$K$2)/($K$3-B164)),""),"")</f>
        <v/>
      </c>
      <c r="E164" s="5">
        <f>IF(AND(ISNUMBER(C164),ISNUMBER(D164),C164&gt;=0.2,C164&lt;=0.8),D164,"")</f>
        <v/>
      </c>
      <c r="F164" s="5">
        <f>IF(ISNUMBER(E164),A164,"")</f>
        <v/>
      </c>
      <c r="G164" s="5">
        <f>IF(AND(ISNUMBER(E164),ISNUMBER($K$4)),E164-($K$7+$K$4*A164),"")</f>
        <v/>
      </c>
    </row>
    <row r="165">
      <c r="A165" s="4" t="n"/>
      <c r="B165" s="4" t="n"/>
      <c r="C165" s="5">
        <f>IF(AND(ISNUMBER(A165),ISNUMBER(B165),ISNUMBER($K$2),ISNUMBER($K$3),$K$3&gt;$K$2),(B165-$K$2)/($K$3-$K$2),"")</f>
        <v/>
      </c>
      <c r="D165" s="5">
        <f>IF(ISNUMBER(C165),IF(B165&lt;$K$3,LN(($K$3-$K$2)/($K$3-B165)),""),"")</f>
        <v/>
      </c>
      <c r="E165" s="5">
        <f>IF(AND(ISNUMBER(C165),ISNUMBER(D165),C165&gt;=0.2,C165&lt;=0.8),D165,"")</f>
        <v/>
      </c>
      <c r="F165" s="5">
        <f>IF(ISNUMBER(E165),A165,"")</f>
        <v/>
      </c>
      <c r="G165" s="5">
        <f>IF(AND(ISNUMBER(E165),ISNUMBER($K$4)),E165-($K$7+$K$4*A165),"")</f>
        <v/>
      </c>
    </row>
    <row r="166">
      <c r="A166" s="4" t="n"/>
      <c r="B166" s="4" t="n"/>
      <c r="C166" s="5">
        <f>IF(AND(ISNUMBER(A166),ISNUMBER(B166),ISNUMBER($K$2),ISNUMBER($K$3),$K$3&gt;$K$2),(B166-$K$2)/($K$3-$K$2),"")</f>
        <v/>
      </c>
      <c r="D166" s="5">
        <f>IF(ISNUMBER(C166),IF(B166&lt;$K$3,LN(($K$3-$K$2)/($K$3-B166)),""),"")</f>
        <v/>
      </c>
      <c r="E166" s="5">
        <f>IF(AND(ISNUMBER(C166),ISNUMBER(D166),C166&gt;=0.2,C166&lt;=0.8),D166,"")</f>
        <v/>
      </c>
      <c r="F166" s="5">
        <f>IF(ISNUMBER(E166),A166,"")</f>
        <v/>
      </c>
      <c r="G166" s="5">
        <f>IF(AND(ISNUMBER(E166),ISNUMBER($K$4)),E166-($K$7+$K$4*A166),"")</f>
        <v/>
      </c>
    </row>
    <row r="167">
      <c r="A167" s="4" t="n"/>
      <c r="B167" s="4" t="n"/>
      <c r="C167" s="5">
        <f>IF(AND(ISNUMBER(A167),ISNUMBER(B167),ISNUMBER($K$2),ISNUMBER($K$3),$K$3&gt;$K$2),(B167-$K$2)/($K$3-$K$2),"")</f>
        <v/>
      </c>
      <c r="D167" s="5">
        <f>IF(ISNUMBER(C167),IF(B167&lt;$K$3,LN(($K$3-$K$2)/($K$3-B167)),""),"")</f>
        <v/>
      </c>
      <c r="E167" s="5">
        <f>IF(AND(ISNUMBER(C167),ISNUMBER(D167),C167&gt;=0.2,C167&lt;=0.8),D167,"")</f>
        <v/>
      </c>
      <c r="F167" s="5">
        <f>IF(ISNUMBER(E167),A167,"")</f>
        <v/>
      </c>
      <c r="G167" s="5">
        <f>IF(AND(ISNUMBER(E167),ISNUMBER($K$4)),E167-($K$7+$K$4*A167),"")</f>
        <v/>
      </c>
    </row>
    <row r="168">
      <c r="A168" s="4" t="n"/>
      <c r="B168" s="4" t="n"/>
      <c r="C168" s="5">
        <f>IF(AND(ISNUMBER(A168),ISNUMBER(B168),ISNUMBER($K$2),ISNUMBER($K$3),$K$3&gt;$K$2),(B168-$K$2)/($K$3-$K$2),"")</f>
        <v/>
      </c>
      <c r="D168" s="5">
        <f>IF(ISNUMBER(C168),IF(B168&lt;$K$3,LN(($K$3-$K$2)/($K$3-B168)),""),"")</f>
        <v/>
      </c>
      <c r="E168" s="5">
        <f>IF(AND(ISNUMBER(C168),ISNUMBER(D168),C168&gt;=0.2,C168&lt;=0.8),D168,"")</f>
        <v/>
      </c>
      <c r="F168" s="5">
        <f>IF(ISNUMBER(E168),A168,"")</f>
        <v/>
      </c>
      <c r="G168" s="5">
        <f>IF(AND(ISNUMBER(E168),ISNUMBER($K$4)),E168-($K$7+$K$4*A168),"")</f>
        <v/>
      </c>
    </row>
    <row r="169">
      <c r="A169" s="4" t="n"/>
      <c r="B169" s="4" t="n"/>
      <c r="C169" s="5">
        <f>IF(AND(ISNUMBER(A169),ISNUMBER(B169),ISNUMBER($K$2),ISNUMBER($K$3),$K$3&gt;$K$2),(B169-$K$2)/($K$3-$K$2),"")</f>
        <v/>
      </c>
      <c r="D169" s="5">
        <f>IF(ISNUMBER(C169),IF(B169&lt;$K$3,LN(($K$3-$K$2)/($K$3-B169)),""),"")</f>
        <v/>
      </c>
      <c r="E169" s="5">
        <f>IF(AND(ISNUMBER(C169),ISNUMBER(D169),C169&gt;=0.2,C169&lt;=0.8),D169,"")</f>
        <v/>
      </c>
      <c r="F169" s="5">
        <f>IF(ISNUMBER(E169),A169,"")</f>
        <v/>
      </c>
      <c r="G169" s="5">
        <f>IF(AND(ISNUMBER(E169),ISNUMBER($K$4)),E169-($K$7+$K$4*A169),"")</f>
        <v/>
      </c>
    </row>
    <row r="170">
      <c r="A170" s="4" t="n"/>
      <c r="B170" s="4" t="n"/>
      <c r="C170" s="5">
        <f>IF(AND(ISNUMBER(A170),ISNUMBER(B170),ISNUMBER($K$2),ISNUMBER($K$3),$K$3&gt;$K$2),(B170-$K$2)/($K$3-$K$2),"")</f>
        <v/>
      </c>
      <c r="D170" s="5">
        <f>IF(ISNUMBER(C170),IF(B170&lt;$K$3,LN(($K$3-$K$2)/($K$3-B170)),""),"")</f>
        <v/>
      </c>
      <c r="E170" s="5">
        <f>IF(AND(ISNUMBER(C170),ISNUMBER(D170),C170&gt;=0.2,C170&lt;=0.8),D170,"")</f>
        <v/>
      </c>
      <c r="F170" s="5">
        <f>IF(ISNUMBER(E170),A170,"")</f>
        <v/>
      </c>
      <c r="G170" s="5">
        <f>IF(AND(ISNUMBER(E170),ISNUMBER($K$4)),E170-($K$7+$K$4*A170),"")</f>
        <v/>
      </c>
    </row>
    <row r="171">
      <c r="A171" s="4" t="n"/>
      <c r="B171" s="4" t="n"/>
      <c r="C171" s="5">
        <f>IF(AND(ISNUMBER(A171),ISNUMBER(B171),ISNUMBER($K$2),ISNUMBER($K$3),$K$3&gt;$K$2),(B171-$K$2)/($K$3-$K$2),"")</f>
        <v/>
      </c>
      <c r="D171" s="5">
        <f>IF(ISNUMBER(C171),IF(B171&lt;$K$3,LN(($K$3-$K$2)/($K$3-B171)),""),"")</f>
        <v/>
      </c>
      <c r="E171" s="5">
        <f>IF(AND(ISNUMBER(C171),ISNUMBER(D171),C171&gt;=0.2,C171&lt;=0.8),D171,"")</f>
        <v/>
      </c>
      <c r="F171" s="5">
        <f>IF(ISNUMBER(E171),A171,"")</f>
        <v/>
      </c>
      <c r="G171" s="5">
        <f>IF(AND(ISNUMBER(E171),ISNUMBER($K$4)),E171-($K$7+$K$4*A171),"")</f>
        <v/>
      </c>
    </row>
    <row r="172">
      <c r="A172" s="4" t="n"/>
      <c r="B172" s="4" t="n"/>
      <c r="C172" s="5">
        <f>IF(AND(ISNUMBER(A172),ISNUMBER(B172),ISNUMBER($K$2),ISNUMBER($K$3),$K$3&gt;$K$2),(B172-$K$2)/($K$3-$K$2),"")</f>
        <v/>
      </c>
      <c r="D172" s="5">
        <f>IF(ISNUMBER(C172),IF(B172&lt;$K$3,LN(($K$3-$K$2)/($K$3-B172)),""),"")</f>
        <v/>
      </c>
      <c r="E172" s="5">
        <f>IF(AND(ISNUMBER(C172),ISNUMBER(D172),C172&gt;=0.2,C172&lt;=0.8),D172,"")</f>
        <v/>
      </c>
      <c r="F172" s="5">
        <f>IF(ISNUMBER(E172),A172,"")</f>
        <v/>
      </c>
      <c r="G172" s="5">
        <f>IF(AND(ISNUMBER(E172),ISNUMBER($K$4)),E172-($K$7+$K$4*A172),"")</f>
        <v/>
      </c>
    </row>
    <row r="173">
      <c r="A173" s="4" t="n"/>
      <c r="B173" s="4" t="n"/>
      <c r="C173" s="5">
        <f>IF(AND(ISNUMBER(A173),ISNUMBER(B173),ISNUMBER($K$2),ISNUMBER($K$3),$K$3&gt;$K$2),(B173-$K$2)/($K$3-$K$2),"")</f>
        <v/>
      </c>
      <c r="D173" s="5">
        <f>IF(ISNUMBER(C173),IF(B173&lt;$K$3,LN(($K$3-$K$2)/($K$3-B173)),""),"")</f>
        <v/>
      </c>
      <c r="E173" s="5">
        <f>IF(AND(ISNUMBER(C173),ISNUMBER(D173),C173&gt;=0.2,C173&lt;=0.8),D173,"")</f>
        <v/>
      </c>
      <c r="F173" s="5">
        <f>IF(ISNUMBER(E173),A173,"")</f>
        <v/>
      </c>
      <c r="G173" s="5">
        <f>IF(AND(ISNUMBER(E173),ISNUMBER($K$4)),E173-($K$7+$K$4*A173),"")</f>
        <v/>
      </c>
    </row>
    <row r="174">
      <c r="A174" s="4" t="n"/>
      <c r="B174" s="4" t="n"/>
      <c r="C174" s="5">
        <f>IF(AND(ISNUMBER(A174),ISNUMBER(B174),ISNUMBER($K$2),ISNUMBER($K$3),$K$3&gt;$K$2),(B174-$K$2)/($K$3-$K$2),"")</f>
        <v/>
      </c>
      <c r="D174" s="5">
        <f>IF(ISNUMBER(C174),IF(B174&lt;$K$3,LN(($K$3-$K$2)/($K$3-B174)),""),"")</f>
        <v/>
      </c>
      <c r="E174" s="5">
        <f>IF(AND(ISNUMBER(C174),ISNUMBER(D174),C174&gt;=0.2,C174&lt;=0.8),D174,"")</f>
        <v/>
      </c>
      <c r="F174" s="5">
        <f>IF(ISNUMBER(E174),A174,"")</f>
        <v/>
      </c>
      <c r="G174" s="5">
        <f>IF(AND(ISNUMBER(E174),ISNUMBER($K$4)),E174-($K$7+$K$4*A174),"")</f>
        <v/>
      </c>
    </row>
    <row r="175">
      <c r="A175" s="4" t="n"/>
      <c r="B175" s="4" t="n"/>
      <c r="C175" s="5">
        <f>IF(AND(ISNUMBER(A175),ISNUMBER(B175),ISNUMBER($K$2),ISNUMBER($K$3),$K$3&gt;$K$2),(B175-$K$2)/($K$3-$K$2),"")</f>
        <v/>
      </c>
      <c r="D175" s="5">
        <f>IF(ISNUMBER(C175),IF(B175&lt;$K$3,LN(($K$3-$K$2)/($K$3-B175)),""),"")</f>
        <v/>
      </c>
      <c r="E175" s="5">
        <f>IF(AND(ISNUMBER(C175),ISNUMBER(D175),C175&gt;=0.2,C175&lt;=0.8),D175,"")</f>
        <v/>
      </c>
      <c r="F175" s="5">
        <f>IF(ISNUMBER(E175),A175,"")</f>
        <v/>
      </c>
      <c r="G175" s="5">
        <f>IF(AND(ISNUMBER(E175),ISNUMBER($K$4)),E175-($K$7+$K$4*A175),"")</f>
        <v/>
      </c>
    </row>
    <row r="176">
      <c r="A176" s="4" t="n"/>
      <c r="B176" s="4" t="n"/>
      <c r="C176" s="5">
        <f>IF(AND(ISNUMBER(A176),ISNUMBER(B176),ISNUMBER($K$2),ISNUMBER($K$3),$K$3&gt;$K$2),(B176-$K$2)/($K$3-$K$2),"")</f>
        <v/>
      </c>
      <c r="D176" s="5">
        <f>IF(ISNUMBER(C176),IF(B176&lt;$K$3,LN(($K$3-$K$2)/($K$3-B176)),""),"")</f>
        <v/>
      </c>
      <c r="E176" s="5">
        <f>IF(AND(ISNUMBER(C176),ISNUMBER(D176),C176&gt;=0.2,C176&lt;=0.8),D176,"")</f>
        <v/>
      </c>
      <c r="F176" s="5">
        <f>IF(ISNUMBER(E176),A176,"")</f>
        <v/>
      </c>
      <c r="G176" s="5">
        <f>IF(AND(ISNUMBER(E176),ISNUMBER($K$4)),E176-($K$7+$K$4*A176),"")</f>
        <v/>
      </c>
    </row>
    <row r="177">
      <c r="A177" s="4" t="n"/>
      <c r="B177" s="4" t="n"/>
      <c r="C177" s="5">
        <f>IF(AND(ISNUMBER(A177),ISNUMBER(B177),ISNUMBER($K$2),ISNUMBER($K$3),$K$3&gt;$K$2),(B177-$K$2)/($K$3-$K$2),"")</f>
        <v/>
      </c>
      <c r="D177" s="5">
        <f>IF(ISNUMBER(C177),IF(B177&lt;$K$3,LN(($K$3-$K$2)/($K$3-B177)),""),"")</f>
        <v/>
      </c>
      <c r="E177" s="5">
        <f>IF(AND(ISNUMBER(C177),ISNUMBER(D177),C177&gt;=0.2,C177&lt;=0.8),D177,"")</f>
        <v/>
      </c>
      <c r="F177" s="5">
        <f>IF(ISNUMBER(E177),A177,"")</f>
        <v/>
      </c>
      <c r="G177" s="5">
        <f>IF(AND(ISNUMBER(E177),ISNUMBER($K$4)),E177-($K$7+$K$4*A177),"")</f>
        <v/>
      </c>
    </row>
    <row r="178">
      <c r="A178" s="4" t="n"/>
      <c r="B178" s="4" t="n"/>
      <c r="C178" s="5">
        <f>IF(AND(ISNUMBER(A178),ISNUMBER(B178),ISNUMBER($K$2),ISNUMBER($K$3),$K$3&gt;$K$2),(B178-$K$2)/($K$3-$K$2),"")</f>
        <v/>
      </c>
      <c r="D178" s="5">
        <f>IF(ISNUMBER(C178),IF(B178&lt;$K$3,LN(($K$3-$K$2)/($K$3-B178)),""),"")</f>
        <v/>
      </c>
      <c r="E178" s="5">
        <f>IF(AND(ISNUMBER(C178),ISNUMBER(D178),C178&gt;=0.2,C178&lt;=0.8),D178,"")</f>
        <v/>
      </c>
      <c r="F178" s="5">
        <f>IF(ISNUMBER(E178),A178,"")</f>
        <v/>
      </c>
      <c r="G178" s="5">
        <f>IF(AND(ISNUMBER(E178),ISNUMBER($K$4)),E178-($K$7+$K$4*A178),"")</f>
        <v/>
      </c>
    </row>
    <row r="179">
      <c r="A179" s="4" t="n"/>
      <c r="B179" s="4" t="n"/>
      <c r="C179" s="5">
        <f>IF(AND(ISNUMBER(A179),ISNUMBER(B179),ISNUMBER($K$2),ISNUMBER($K$3),$K$3&gt;$K$2),(B179-$K$2)/($K$3-$K$2),"")</f>
        <v/>
      </c>
      <c r="D179" s="5">
        <f>IF(ISNUMBER(C179),IF(B179&lt;$K$3,LN(($K$3-$K$2)/($K$3-B179)),""),"")</f>
        <v/>
      </c>
      <c r="E179" s="5">
        <f>IF(AND(ISNUMBER(C179),ISNUMBER(D179),C179&gt;=0.2,C179&lt;=0.8),D179,"")</f>
        <v/>
      </c>
      <c r="F179" s="5">
        <f>IF(ISNUMBER(E179),A179,"")</f>
        <v/>
      </c>
      <c r="G179" s="5">
        <f>IF(AND(ISNUMBER(E179),ISNUMBER($K$4)),E179-($K$7+$K$4*A179),"")</f>
        <v/>
      </c>
    </row>
    <row r="180">
      <c r="A180" s="4" t="n"/>
      <c r="B180" s="4" t="n"/>
      <c r="C180" s="5">
        <f>IF(AND(ISNUMBER(A180),ISNUMBER(B180),ISNUMBER($K$2),ISNUMBER($K$3),$K$3&gt;$K$2),(B180-$K$2)/($K$3-$K$2),"")</f>
        <v/>
      </c>
      <c r="D180" s="5">
        <f>IF(ISNUMBER(C180),IF(B180&lt;$K$3,LN(($K$3-$K$2)/($K$3-B180)),""),"")</f>
        <v/>
      </c>
      <c r="E180" s="5">
        <f>IF(AND(ISNUMBER(C180),ISNUMBER(D180),C180&gt;=0.2,C180&lt;=0.8),D180,"")</f>
        <v/>
      </c>
      <c r="F180" s="5">
        <f>IF(ISNUMBER(E180),A180,"")</f>
        <v/>
      </c>
      <c r="G180" s="5">
        <f>IF(AND(ISNUMBER(E180),ISNUMBER($K$4)),E180-($K$7+$K$4*A180),"")</f>
        <v/>
      </c>
    </row>
    <row r="181">
      <c r="A181" s="4" t="n"/>
      <c r="B181" s="4" t="n"/>
      <c r="C181" s="5">
        <f>IF(AND(ISNUMBER(A181),ISNUMBER(B181),ISNUMBER($K$2),ISNUMBER($K$3),$K$3&gt;$K$2),(B181-$K$2)/($K$3-$K$2),"")</f>
        <v/>
      </c>
      <c r="D181" s="5">
        <f>IF(ISNUMBER(C181),IF(B181&lt;$K$3,LN(($K$3-$K$2)/($K$3-B181)),""),"")</f>
        <v/>
      </c>
      <c r="E181" s="5">
        <f>IF(AND(ISNUMBER(C181),ISNUMBER(D181),C181&gt;=0.2,C181&lt;=0.8),D181,"")</f>
        <v/>
      </c>
      <c r="F181" s="5">
        <f>IF(ISNUMBER(E181),A181,"")</f>
        <v/>
      </c>
      <c r="G181" s="5">
        <f>IF(AND(ISNUMBER(E181),ISNUMBER($K$4)),E181-($K$7+$K$4*A181),"")</f>
        <v/>
      </c>
    </row>
    <row r="182">
      <c r="A182" s="4" t="n"/>
      <c r="B182" s="4" t="n"/>
      <c r="C182" s="5">
        <f>IF(AND(ISNUMBER(A182),ISNUMBER(B182),ISNUMBER($K$2),ISNUMBER($K$3),$K$3&gt;$K$2),(B182-$K$2)/($K$3-$K$2),"")</f>
        <v/>
      </c>
      <c r="D182" s="5">
        <f>IF(ISNUMBER(C182),IF(B182&lt;$K$3,LN(($K$3-$K$2)/($K$3-B182)),""),"")</f>
        <v/>
      </c>
      <c r="E182" s="5">
        <f>IF(AND(ISNUMBER(C182),ISNUMBER(D182),C182&gt;=0.2,C182&lt;=0.8),D182,"")</f>
        <v/>
      </c>
      <c r="F182" s="5">
        <f>IF(ISNUMBER(E182),A182,"")</f>
        <v/>
      </c>
      <c r="G182" s="5">
        <f>IF(AND(ISNUMBER(E182),ISNUMBER($K$4)),E182-($K$7+$K$4*A182),"")</f>
        <v/>
      </c>
    </row>
    <row r="183">
      <c r="A183" s="4" t="n"/>
      <c r="B183" s="4" t="n"/>
      <c r="C183" s="5">
        <f>IF(AND(ISNUMBER(A183),ISNUMBER(B183),ISNUMBER($K$2),ISNUMBER($K$3),$K$3&gt;$K$2),(B183-$K$2)/($K$3-$K$2),"")</f>
        <v/>
      </c>
      <c r="D183" s="5">
        <f>IF(ISNUMBER(C183),IF(B183&lt;$K$3,LN(($K$3-$K$2)/($K$3-B183)),""),"")</f>
        <v/>
      </c>
      <c r="E183" s="5">
        <f>IF(AND(ISNUMBER(C183),ISNUMBER(D183),C183&gt;=0.2,C183&lt;=0.8),D183,"")</f>
        <v/>
      </c>
      <c r="F183" s="5">
        <f>IF(ISNUMBER(E183),A183,"")</f>
        <v/>
      </c>
      <c r="G183" s="5">
        <f>IF(AND(ISNUMBER(E183),ISNUMBER($K$4)),E183-($K$7+$K$4*A183),"")</f>
        <v/>
      </c>
    </row>
    <row r="184">
      <c r="A184" s="4" t="n"/>
      <c r="B184" s="4" t="n"/>
      <c r="C184" s="5">
        <f>IF(AND(ISNUMBER(A184),ISNUMBER(B184),ISNUMBER($K$2),ISNUMBER($K$3),$K$3&gt;$K$2),(B184-$K$2)/($K$3-$K$2),"")</f>
        <v/>
      </c>
      <c r="D184" s="5">
        <f>IF(ISNUMBER(C184),IF(B184&lt;$K$3,LN(($K$3-$K$2)/($K$3-B184)),""),"")</f>
        <v/>
      </c>
      <c r="E184" s="5">
        <f>IF(AND(ISNUMBER(C184),ISNUMBER(D184),C184&gt;=0.2,C184&lt;=0.8),D184,"")</f>
        <v/>
      </c>
      <c r="F184" s="5">
        <f>IF(ISNUMBER(E184),A184,"")</f>
        <v/>
      </c>
      <c r="G184" s="5">
        <f>IF(AND(ISNUMBER(E184),ISNUMBER($K$4)),E184-($K$7+$K$4*A184),"")</f>
        <v/>
      </c>
    </row>
    <row r="185">
      <c r="A185" s="4" t="n"/>
      <c r="B185" s="4" t="n"/>
      <c r="C185" s="5">
        <f>IF(AND(ISNUMBER(A185),ISNUMBER(B185),ISNUMBER($K$2),ISNUMBER($K$3),$K$3&gt;$K$2),(B185-$K$2)/($K$3-$K$2),"")</f>
        <v/>
      </c>
      <c r="D185" s="5">
        <f>IF(ISNUMBER(C185),IF(B185&lt;$K$3,LN(($K$3-$K$2)/($K$3-B185)),""),"")</f>
        <v/>
      </c>
      <c r="E185" s="5">
        <f>IF(AND(ISNUMBER(C185),ISNUMBER(D185),C185&gt;=0.2,C185&lt;=0.8),D185,"")</f>
        <v/>
      </c>
      <c r="F185" s="5">
        <f>IF(ISNUMBER(E185),A185,"")</f>
        <v/>
      </c>
      <c r="G185" s="5">
        <f>IF(AND(ISNUMBER(E185),ISNUMBER($K$4)),E185-($K$7+$K$4*A185),"")</f>
        <v/>
      </c>
    </row>
    <row r="186">
      <c r="A186" s="4" t="n"/>
      <c r="B186" s="4" t="n"/>
      <c r="C186" s="5">
        <f>IF(AND(ISNUMBER(A186),ISNUMBER(B186),ISNUMBER($K$2),ISNUMBER($K$3),$K$3&gt;$K$2),(B186-$K$2)/($K$3-$K$2),"")</f>
        <v/>
      </c>
      <c r="D186" s="5">
        <f>IF(ISNUMBER(C186),IF(B186&lt;$K$3,LN(($K$3-$K$2)/($K$3-B186)),""),"")</f>
        <v/>
      </c>
      <c r="E186" s="5">
        <f>IF(AND(ISNUMBER(C186),ISNUMBER(D186),C186&gt;=0.2,C186&lt;=0.8),D186,"")</f>
        <v/>
      </c>
      <c r="F186" s="5">
        <f>IF(ISNUMBER(E186),A186,"")</f>
        <v/>
      </c>
      <c r="G186" s="5">
        <f>IF(AND(ISNUMBER(E186),ISNUMBER($K$4)),E186-($K$7+$K$4*A186),"")</f>
        <v/>
      </c>
    </row>
    <row r="187">
      <c r="A187" s="4" t="n"/>
      <c r="B187" s="4" t="n"/>
      <c r="C187" s="5">
        <f>IF(AND(ISNUMBER(A187),ISNUMBER(B187),ISNUMBER($K$2),ISNUMBER($K$3),$K$3&gt;$K$2),(B187-$K$2)/($K$3-$K$2),"")</f>
        <v/>
      </c>
      <c r="D187" s="5">
        <f>IF(ISNUMBER(C187),IF(B187&lt;$K$3,LN(($K$3-$K$2)/($K$3-B187)),""),"")</f>
        <v/>
      </c>
      <c r="E187" s="5">
        <f>IF(AND(ISNUMBER(C187),ISNUMBER(D187),C187&gt;=0.2,C187&lt;=0.8),D187,"")</f>
        <v/>
      </c>
      <c r="F187" s="5">
        <f>IF(ISNUMBER(E187),A187,"")</f>
        <v/>
      </c>
      <c r="G187" s="5">
        <f>IF(AND(ISNUMBER(E187),ISNUMBER($K$4)),E187-($K$7+$K$4*A187),"")</f>
        <v/>
      </c>
    </row>
    <row r="188">
      <c r="A188" s="4" t="n"/>
      <c r="B188" s="4" t="n"/>
      <c r="C188" s="5">
        <f>IF(AND(ISNUMBER(A188),ISNUMBER(B188),ISNUMBER($K$2),ISNUMBER($K$3),$K$3&gt;$K$2),(B188-$K$2)/($K$3-$K$2),"")</f>
        <v/>
      </c>
      <c r="D188" s="5">
        <f>IF(ISNUMBER(C188),IF(B188&lt;$K$3,LN(($K$3-$K$2)/($K$3-B188)),""),"")</f>
        <v/>
      </c>
      <c r="E188" s="5">
        <f>IF(AND(ISNUMBER(C188),ISNUMBER(D188),C188&gt;=0.2,C188&lt;=0.8),D188,"")</f>
        <v/>
      </c>
      <c r="F188" s="5">
        <f>IF(ISNUMBER(E188),A188,"")</f>
        <v/>
      </c>
      <c r="G188" s="5">
        <f>IF(AND(ISNUMBER(E188),ISNUMBER($K$4)),E188-($K$7+$K$4*A188),"")</f>
        <v/>
      </c>
    </row>
    <row r="189">
      <c r="A189" s="4" t="n"/>
      <c r="B189" s="4" t="n"/>
      <c r="C189" s="5">
        <f>IF(AND(ISNUMBER(A189),ISNUMBER(B189),ISNUMBER($K$2),ISNUMBER($K$3),$K$3&gt;$K$2),(B189-$K$2)/($K$3-$K$2),"")</f>
        <v/>
      </c>
      <c r="D189" s="5">
        <f>IF(ISNUMBER(C189),IF(B189&lt;$K$3,LN(($K$3-$K$2)/($K$3-B189)),""),"")</f>
        <v/>
      </c>
      <c r="E189" s="5">
        <f>IF(AND(ISNUMBER(C189),ISNUMBER(D189),C189&gt;=0.2,C189&lt;=0.8),D189,"")</f>
        <v/>
      </c>
      <c r="F189" s="5">
        <f>IF(ISNUMBER(E189),A189,"")</f>
        <v/>
      </c>
      <c r="G189" s="5">
        <f>IF(AND(ISNUMBER(E189),ISNUMBER($K$4)),E189-($K$7+$K$4*A189),"")</f>
        <v/>
      </c>
    </row>
    <row r="190">
      <c r="A190" s="4" t="n"/>
      <c r="B190" s="4" t="n"/>
      <c r="C190" s="5">
        <f>IF(AND(ISNUMBER(A190),ISNUMBER(B190),ISNUMBER($K$2),ISNUMBER($K$3),$K$3&gt;$K$2),(B190-$K$2)/($K$3-$K$2),"")</f>
        <v/>
      </c>
      <c r="D190" s="5">
        <f>IF(ISNUMBER(C190),IF(B190&lt;$K$3,LN(($K$3-$K$2)/($K$3-B190)),""),"")</f>
        <v/>
      </c>
      <c r="E190" s="5">
        <f>IF(AND(ISNUMBER(C190),ISNUMBER(D190),C190&gt;=0.2,C190&lt;=0.8),D190,"")</f>
        <v/>
      </c>
      <c r="F190" s="5">
        <f>IF(ISNUMBER(E190),A190,"")</f>
        <v/>
      </c>
      <c r="G190" s="5">
        <f>IF(AND(ISNUMBER(E190),ISNUMBER($K$4)),E190-($K$7+$K$4*A190),"")</f>
        <v/>
      </c>
    </row>
    <row r="191">
      <c r="A191" s="4" t="n"/>
      <c r="B191" s="4" t="n"/>
      <c r="C191" s="5">
        <f>IF(AND(ISNUMBER(A191),ISNUMBER(B191),ISNUMBER($K$2),ISNUMBER($K$3),$K$3&gt;$K$2),(B191-$K$2)/($K$3-$K$2),"")</f>
        <v/>
      </c>
      <c r="D191" s="5">
        <f>IF(ISNUMBER(C191),IF(B191&lt;$K$3,LN(($K$3-$K$2)/($K$3-B191)),""),"")</f>
        <v/>
      </c>
      <c r="E191" s="5">
        <f>IF(AND(ISNUMBER(C191),ISNUMBER(D191),C191&gt;=0.2,C191&lt;=0.8),D191,"")</f>
        <v/>
      </c>
      <c r="F191" s="5">
        <f>IF(ISNUMBER(E191),A191,"")</f>
        <v/>
      </c>
      <c r="G191" s="5">
        <f>IF(AND(ISNUMBER(E191),ISNUMBER($K$4)),E191-($K$7+$K$4*A191),"")</f>
        <v/>
      </c>
    </row>
    <row r="192">
      <c r="A192" s="4" t="n"/>
      <c r="B192" s="4" t="n"/>
      <c r="C192" s="5">
        <f>IF(AND(ISNUMBER(A192),ISNUMBER(B192),ISNUMBER($K$2),ISNUMBER($K$3),$K$3&gt;$K$2),(B192-$K$2)/($K$3-$K$2),"")</f>
        <v/>
      </c>
      <c r="D192" s="5">
        <f>IF(ISNUMBER(C192),IF(B192&lt;$K$3,LN(($K$3-$K$2)/($K$3-B192)),""),"")</f>
        <v/>
      </c>
      <c r="E192" s="5">
        <f>IF(AND(ISNUMBER(C192),ISNUMBER(D192),C192&gt;=0.2,C192&lt;=0.8),D192,"")</f>
        <v/>
      </c>
      <c r="F192" s="5">
        <f>IF(ISNUMBER(E192),A192,"")</f>
        <v/>
      </c>
      <c r="G192" s="5">
        <f>IF(AND(ISNUMBER(E192),ISNUMBER($K$4)),E192-($K$7+$K$4*A192),"")</f>
        <v/>
      </c>
    </row>
    <row r="193">
      <c r="A193" s="4" t="n"/>
      <c r="B193" s="4" t="n"/>
      <c r="C193" s="5">
        <f>IF(AND(ISNUMBER(A193),ISNUMBER(B193),ISNUMBER($K$2),ISNUMBER($K$3),$K$3&gt;$K$2),(B193-$K$2)/($K$3-$K$2),"")</f>
        <v/>
      </c>
      <c r="D193" s="5">
        <f>IF(ISNUMBER(C193),IF(B193&lt;$K$3,LN(($K$3-$K$2)/($K$3-B193)),""),"")</f>
        <v/>
      </c>
      <c r="E193" s="5">
        <f>IF(AND(ISNUMBER(C193),ISNUMBER(D193),C193&gt;=0.2,C193&lt;=0.8),D193,"")</f>
        <v/>
      </c>
      <c r="F193" s="5">
        <f>IF(ISNUMBER(E193),A193,"")</f>
        <v/>
      </c>
      <c r="G193" s="5">
        <f>IF(AND(ISNUMBER(E193),ISNUMBER($K$4)),E193-($K$7+$K$4*A193),"")</f>
        <v/>
      </c>
    </row>
    <row r="194">
      <c r="A194" s="4" t="n"/>
      <c r="B194" s="4" t="n"/>
      <c r="C194" s="5">
        <f>IF(AND(ISNUMBER(A194),ISNUMBER(B194),ISNUMBER($K$2),ISNUMBER($K$3),$K$3&gt;$K$2),(B194-$K$2)/($K$3-$K$2),"")</f>
        <v/>
      </c>
      <c r="D194" s="5">
        <f>IF(ISNUMBER(C194),IF(B194&lt;$K$3,LN(($K$3-$K$2)/($K$3-B194)),""),"")</f>
        <v/>
      </c>
      <c r="E194" s="5">
        <f>IF(AND(ISNUMBER(C194),ISNUMBER(D194),C194&gt;=0.2,C194&lt;=0.8),D194,"")</f>
        <v/>
      </c>
      <c r="F194" s="5">
        <f>IF(ISNUMBER(E194),A194,"")</f>
        <v/>
      </c>
      <c r="G194" s="5">
        <f>IF(AND(ISNUMBER(E194),ISNUMBER($K$4)),E194-($K$7+$K$4*A194),"")</f>
        <v/>
      </c>
    </row>
    <row r="195">
      <c r="A195" s="4" t="n"/>
      <c r="B195" s="4" t="n"/>
      <c r="C195" s="5">
        <f>IF(AND(ISNUMBER(A195),ISNUMBER(B195),ISNUMBER($K$2),ISNUMBER($K$3),$K$3&gt;$K$2),(B195-$K$2)/($K$3-$K$2),"")</f>
        <v/>
      </c>
      <c r="D195" s="5">
        <f>IF(ISNUMBER(C195),IF(B195&lt;$K$3,LN(($K$3-$K$2)/($K$3-B195)),""),"")</f>
        <v/>
      </c>
      <c r="E195" s="5">
        <f>IF(AND(ISNUMBER(C195),ISNUMBER(D195),C195&gt;=0.2,C195&lt;=0.8),D195,"")</f>
        <v/>
      </c>
      <c r="F195" s="5">
        <f>IF(ISNUMBER(E195),A195,"")</f>
        <v/>
      </c>
      <c r="G195" s="5">
        <f>IF(AND(ISNUMBER(E195),ISNUMBER($K$4)),E195-($K$7+$K$4*A195),"")</f>
        <v/>
      </c>
    </row>
    <row r="196">
      <c r="A196" s="4" t="n"/>
      <c r="B196" s="4" t="n"/>
      <c r="C196" s="5">
        <f>IF(AND(ISNUMBER(A196),ISNUMBER(B196),ISNUMBER($K$2),ISNUMBER($K$3),$K$3&gt;$K$2),(B196-$K$2)/($K$3-$K$2),"")</f>
        <v/>
      </c>
      <c r="D196" s="5">
        <f>IF(ISNUMBER(C196),IF(B196&lt;$K$3,LN(($K$3-$K$2)/($K$3-B196)),""),"")</f>
        <v/>
      </c>
      <c r="E196" s="5">
        <f>IF(AND(ISNUMBER(C196),ISNUMBER(D196),C196&gt;=0.2,C196&lt;=0.8),D196,"")</f>
        <v/>
      </c>
      <c r="F196" s="5">
        <f>IF(ISNUMBER(E196),A196,"")</f>
        <v/>
      </c>
      <c r="G196" s="5">
        <f>IF(AND(ISNUMBER(E196),ISNUMBER($K$4)),E196-($K$7+$K$4*A196),"")</f>
        <v/>
      </c>
    </row>
    <row r="197">
      <c r="A197" s="4" t="n"/>
      <c r="B197" s="4" t="n"/>
      <c r="C197" s="5">
        <f>IF(AND(ISNUMBER(A197),ISNUMBER(B197),ISNUMBER($K$2),ISNUMBER($K$3),$K$3&gt;$K$2),(B197-$K$2)/($K$3-$K$2),"")</f>
        <v/>
      </c>
      <c r="D197" s="5">
        <f>IF(ISNUMBER(C197),IF(B197&lt;$K$3,LN(($K$3-$K$2)/($K$3-B197)),""),"")</f>
        <v/>
      </c>
      <c r="E197" s="5">
        <f>IF(AND(ISNUMBER(C197),ISNUMBER(D197),C197&gt;=0.2,C197&lt;=0.8),D197,"")</f>
        <v/>
      </c>
      <c r="F197" s="5">
        <f>IF(ISNUMBER(E197),A197,"")</f>
        <v/>
      </c>
      <c r="G197" s="5">
        <f>IF(AND(ISNUMBER(E197),ISNUMBER($K$4)),E197-($K$7+$K$4*A197),"")</f>
        <v/>
      </c>
    </row>
    <row r="198">
      <c r="A198" s="4" t="n"/>
      <c r="B198" s="4" t="n"/>
      <c r="C198" s="5">
        <f>IF(AND(ISNUMBER(A198),ISNUMBER(B198),ISNUMBER($K$2),ISNUMBER($K$3),$K$3&gt;$K$2),(B198-$K$2)/($K$3-$K$2),"")</f>
        <v/>
      </c>
      <c r="D198" s="5">
        <f>IF(ISNUMBER(C198),IF(B198&lt;$K$3,LN(($K$3-$K$2)/($K$3-B198)),""),"")</f>
        <v/>
      </c>
      <c r="E198" s="5">
        <f>IF(AND(ISNUMBER(C198),ISNUMBER(D198),C198&gt;=0.2,C198&lt;=0.8),D198,"")</f>
        <v/>
      </c>
      <c r="F198" s="5">
        <f>IF(ISNUMBER(E198),A198,"")</f>
        <v/>
      </c>
      <c r="G198" s="5">
        <f>IF(AND(ISNUMBER(E198),ISNUMBER($K$4)),E198-($K$7+$K$4*A198),"")</f>
        <v/>
      </c>
    </row>
    <row r="199">
      <c r="A199" s="4" t="n"/>
      <c r="B199" s="4" t="n"/>
      <c r="C199" s="5">
        <f>IF(AND(ISNUMBER(A199),ISNUMBER(B199),ISNUMBER($K$2),ISNUMBER($K$3),$K$3&gt;$K$2),(B199-$K$2)/($K$3-$K$2),"")</f>
        <v/>
      </c>
      <c r="D199" s="5">
        <f>IF(ISNUMBER(C199),IF(B199&lt;$K$3,LN(($K$3-$K$2)/($K$3-B199)),""),"")</f>
        <v/>
      </c>
      <c r="E199" s="5">
        <f>IF(AND(ISNUMBER(C199),ISNUMBER(D199),C199&gt;=0.2,C199&lt;=0.8),D199,"")</f>
        <v/>
      </c>
      <c r="F199" s="5">
        <f>IF(ISNUMBER(E199),A199,"")</f>
        <v/>
      </c>
      <c r="G199" s="5">
        <f>IF(AND(ISNUMBER(E199),ISNUMBER($K$4)),E199-($K$7+$K$4*A199),"")</f>
        <v/>
      </c>
    </row>
    <row r="200">
      <c r="A200" s="4" t="n"/>
      <c r="B200" s="4" t="n"/>
      <c r="C200" s="5">
        <f>IF(AND(ISNUMBER(A200),ISNUMBER(B200),ISNUMBER($K$2),ISNUMBER($K$3),$K$3&gt;$K$2),(B200-$K$2)/($K$3-$K$2),"")</f>
        <v/>
      </c>
      <c r="D200" s="5">
        <f>IF(ISNUMBER(C200),IF(B200&lt;$K$3,LN(($K$3-$K$2)/($K$3-B200)),""),"")</f>
        <v/>
      </c>
      <c r="E200" s="5">
        <f>IF(AND(ISNUMBER(C200),ISNUMBER(D200),C200&gt;=0.2,C200&lt;=0.8),D200,"")</f>
        <v/>
      </c>
      <c r="F200" s="5">
        <f>IF(ISNUMBER(E200),A200,"")</f>
        <v/>
      </c>
      <c r="G200" s="5">
        <f>IF(AND(ISNUMBER(E200),ISNUMBER($K$4)),E200-($K$7+$K$4*A200),"")</f>
        <v/>
      </c>
    </row>
    <row r="201">
      <c r="A201" s="4" t="n"/>
      <c r="B201" s="4" t="n"/>
      <c r="C201" s="5">
        <f>IF(AND(ISNUMBER(A201),ISNUMBER(B201),ISNUMBER($K$2),ISNUMBER($K$3),$K$3&gt;$K$2),(B201-$K$2)/($K$3-$K$2),"")</f>
        <v/>
      </c>
      <c r="D201" s="5">
        <f>IF(ISNUMBER(C201),IF(B201&lt;$K$3,LN(($K$3-$K$2)/($K$3-B201)),""),"")</f>
        <v/>
      </c>
      <c r="E201" s="5">
        <f>IF(AND(ISNUMBER(C201),ISNUMBER(D201),C201&gt;=0.2,C201&lt;=0.8),D201,"")</f>
        <v/>
      </c>
      <c r="F201" s="5">
        <f>IF(ISNUMBER(E201),A201,"")</f>
        <v/>
      </c>
      <c r="G201" s="5">
        <f>IF(AND(ISNUMBER(E201),ISNUMBER($K$4)),E201-($K$7+$K$4*A201),"")</f>
        <v/>
      </c>
    </row>
    <row r="202">
      <c r="A202" s="4" t="n"/>
      <c r="B202" s="4" t="n"/>
      <c r="C202" s="5">
        <f>IF(AND(ISNUMBER(A202),ISNUMBER(B202),ISNUMBER($K$2),ISNUMBER($K$3),$K$3&gt;$K$2),(B202-$K$2)/($K$3-$K$2),"")</f>
        <v/>
      </c>
      <c r="D202" s="5">
        <f>IF(ISNUMBER(C202),IF(B202&lt;$K$3,LN(($K$3-$K$2)/($K$3-B202)),""),"")</f>
        <v/>
      </c>
      <c r="E202" s="5">
        <f>IF(AND(ISNUMBER(C202),ISNUMBER(D202),C202&gt;=0.2,C202&lt;=0.8),D202,"")</f>
        <v/>
      </c>
      <c r="F202" s="5">
        <f>IF(ISNUMBER(E202),A202,"")</f>
        <v/>
      </c>
      <c r="G202" s="5">
        <f>IF(AND(ISNUMBER(E202),ISNUMBER($K$4)),E202-($K$7+$K$4*A202),"")</f>
        <v/>
      </c>
    </row>
    <row r="203">
      <c r="A203" s="4" t="n"/>
      <c r="B203" s="4" t="n"/>
      <c r="C203" s="5">
        <f>IF(AND(ISNUMBER(A203),ISNUMBER(B203),ISNUMBER($K$2),ISNUMBER($K$3),$K$3&gt;$K$2),(B203-$K$2)/($K$3-$K$2),"")</f>
        <v/>
      </c>
      <c r="D203" s="5">
        <f>IF(ISNUMBER(C203),IF(B203&lt;$K$3,LN(($K$3-$K$2)/($K$3-B203)),""),"")</f>
        <v/>
      </c>
      <c r="E203" s="5">
        <f>IF(AND(ISNUMBER(C203),ISNUMBER(D203),C203&gt;=0.2,C203&lt;=0.8),D203,"")</f>
        <v/>
      </c>
      <c r="F203" s="5">
        <f>IF(ISNUMBER(E203),A203,"")</f>
        <v/>
      </c>
      <c r="G203" s="5">
        <f>IF(AND(ISNUMBER(E203),ISNUMBER($K$4)),E203-($K$7+$K$4*A203),"")</f>
        <v/>
      </c>
    </row>
    <row r="204">
      <c r="A204" s="4" t="n"/>
      <c r="B204" s="4" t="n"/>
      <c r="C204" s="5">
        <f>IF(AND(ISNUMBER(A204),ISNUMBER(B204),ISNUMBER($K$2),ISNUMBER($K$3),$K$3&gt;$K$2),(B204-$K$2)/($K$3-$K$2),"")</f>
        <v/>
      </c>
      <c r="D204" s="5">
        <f>IF(ISNUMBER(C204),IF(B204&lt;$K$3,LN(($K$3-$K$2)/($K$3-B204)),""),"")</f>
        <v/>
      </c>
      <c r="E204" s="5">
        <f>IF(AND(ISNUMBER(C204),ISNUMBER(D204),C204&gt;=0.2,C204&lt;=0.8),D204,"")</f>
        <v/>
      </c>
      <c r="F204" s="5">
        <f>IF(ISNUMBER(E204),A204,"")</f>
        <v/>
      </c>
      <c r="G204" s="5">
        <f>IF(AND(ISNUMBER(E204),ISNUMBER($K$4)),E204-($K$7+$K$4*A204),"")</f>
        <v/>
      </c>
    </row>
    <row r="205">
      <c r="A205" s="4" t="n"/>
      <c r="B205" s="4" t="n"/>
      <c r="C205" s="5">
        <f>IF(AND(ISNUMBER(A205),ISNUMBER(B205),ISNUMBER($K$2),ISNUMBER($K$3),$K$3&gt;$K$2),(B205-$K$2)/($K$3-$K$2),"")</f>
        <v/>
      </c>
      <c r="D205" s="5">
        <f>IF(ISNUMBER(C205),IF(B205&lt;$K$3,LN(($K$3-$K$2)/($K$3-B205)),""),"")</f>
        <v/>
      </c>
      <c r="E205" s="5">
        <f>IF(AND(ISNUMBER(C205),ISNUMBER(D205),C205&gt;=0.2,C205&lt;=0.8),D205,"")</f>
        <v/>
      </c>
      <c r="F205" s="5">
        <f>IF(ISNUMBER(E205),A205,"")</f>
        <v/>
      </c>
      <c r="G205" s="5">
        <f>IF(AND(ISNUMBER(E205),ISNUMBER($K$4)),E205-($K$7+$K$4*A205),"")</f>
        <v/>
      </c>
    </row>
    <row r="206">
      <c r="A206" s="4" t="n"/>
      <c r="B206" s="4" t="n"/>
      <c r="C206" s="5">
        <f>IF(AND(ISNUMBER(A206),ISNUMBER(B206),ISNUMBER($K$2),ISNUMBER($K$3),$K$3&gt;$K$2),(B206-$K$2)/($K$3-$K$2),"")</f>
        <v/>
      </c>
      <c r="D206" s="5">
        <f>IF(ISNUMBER(C206),IF(B206&lt;$K$3,LN(($K$3-$K$2)/($K$3-B206)),""),"")</f>
        <v/>
      </c>
      <c r="E206" s="5">
        <f>IF(AND(ISNUMBER(C206),ISNUMBER(D206),C206&gt;=0.2,C206&lt;=0.8),D206,"")</f>
        <v/>
      </c>
      <c r="F206" s="5">
        <f>IF(ISNUMBER(E206),A206,"")</f>
        <v/>
      </c>
      <c r="G206" s="5">
        <f>IF(AND(ISNUMBER(E206),ISNUMBER($K$4)),E206-($K$7+$K$4*A206),"")</f>
        <v/>
      </c>
    </row>
    <row r="207">
      <c r="A207" s="4" t="n"/>
      <c r="B207" s="4" t="n"/>
      <c r="C207" s="5">
        <f>IF(AND(ISNUMBER(A207),ISNUMBER(B207),ISNUMBER($K$2),ISNUMBER($K$3),$K$3&gt;$K$2),(B207-$K$2)/($K$3-$K$2),"")</f>
        <v/>
      </c>
      <c r="D207" s="5">
        <f>IF(ISNUMBER(C207),IF(B207&lt;$K$3,LN(($K$3-$K$2)/($K$3-B207)),""),"")</f>
        <v/>
      </c>
      <c r="E207" s="5">
        <f>IF(AND(ISNUMBER(C207),ISNUMBER(D207),C207&gt;=0.2,C207&lt;=0.8),D207,"")</f>
        <v/>
      </c>
      <c r="F207" s="5">
        <f>IF(ISNUMBER(E207),A207,"")</f>
        <v/>
      </c>
      <c r="G207" s="5">
        <f>IF(AND(ISNUMBER(E207),ISNUMBER($K$4)),E207-($K$7+$K$4*A207),"")</f>
        <v/>
      </c>
    </row>
    <row r="208">
      <c r="A208" s="4" t="n"/>
      <c r="B208" s="4" t="n"/>
      <c r="C208" s="5">
        <f>IF(AND(ISNUMBER(A208),ISNUMBER(B208),ISNUMBER($K$2),ISNUMBER($K$3),$K$3&gt;$K$2),(B208-$K$2)/($K$3-$K$2),"")</f>
        <v/>
      </c>
      <c r="D208" s="5">
        <f>IF(ISNUMBER(C208),IF(B208&lt;$K$3,LN(($K$3-$K$2)/($K$3-B208)),""),"")</f>
        <v/>
      </c>
      <c r="E208" s="5">
        <f>IF(AND(ISNUMBER(C208),ISNUMBER(D208),C208&gt;=0.2,C208&lt;=0.8),D208,"")</f>
        <v/>
      </c>
      <c r="F208" s="5">
        <f>IF(ISNUMBER(E208),A208,"")</f>
        <v/>
      </c>
      <c r="G208" s="5">
        <f>IF(AND(ISNUMBER(E208),ISNUMBER($K$4)),E208-($K$7+$K$4*A208),"")</f>
        <v/>
      </c>
    </row>
    <row r="209">
      <c r="A209" s="4" t="n"/>
      <c r="B209" s="4" t="n"/>
      <c r="C209" s="5">
        <f>IF(AND(ISNUMBER(A209),ISNUMBER(B209),ISNUMBER($K$2),ISNUMBER($K$3),$K$3&gt;$K$2),(B209-$K$2)/($K$3-$K$2),"")</f>
        <v/>
      </c>
      <c r="D209" s="5">
        <f>IF(ISNUMBER(C209),IF(B209&lt;$K$3,LN(($K$3-$K$2)/($K$3-B209)),""),"")</f>
        <v/>
      </c>
      <c r="E209" s="5">
        <f>IF(AND(ISNUMBER(C209),ISNUMBER(D209),C209&gt;=0.2,C209&lt;=0.8),D209,"")</f>
        <v/>
      </c>
      <c r="F209" s="5">
        <f>IF(ISNUMBER(E209),A209,"")</f>
        <v/>
      </c>
      <c r="G209" s="5">
        <f>IF(AND(ISNUMBER(E209),ISNUMBER($K$4)),E209-($K$7+$K$4*A209),"")</f>
        <v/>
      </c>
    </row>
    <row r="210">
      <c r="A210" s="4" t="n"/>
      <c r="B210" s="4" t="n"/>
      <c r="C210" s="5">
        <f>IF(AND(ISNUMBER(A210),ISNUMBER(B210),ISNUMBER($K$2),ISNUMBER($K$3),$K$3&gt;$K$2),(B210-$K$2)/($K$3-$K$2),"")</f>
        <v/>
      </c>
      <c r="D210" s="5">
        <f>IF(ISNUMBER(C210),IF(B210&lt;$K$3,LN(($K$3-$K$2)/($K$3-B210)),""),"")</f>
        <v/>
      </c>
      <c r="E210" s="5">
        <f>IF(AND(ISNUMBER(C210),ISNUMBER(D210),C210&gt;=0.2,C210&lt;=0.8),D210,"")</f>
        <v/>
      </c>
      <c r="F210" s="5">
        <f>IF(ISNUMBER(E210),A210,"")</f>
        <v/>
      </c>
      <c r="G210" s="5">
        <f>IF(AND(ISNUMBER(E210),ISNUMBER($K$4)),E210-($K$7+$K$4*A210),"")</f>
        <v/>
      </c>
    </row>
    <row r="211">
      <c r="A211" s="4" t="n"/>
      <c r="B211" s="4" t="n"/>
      <c r="C211" s="5">
        <f>IF(AND(ISNUMBER(A211),ISNUMBER(B211),ISNUMBER($K$2),ISNUMBER($K$3),$K$3&gt;$K$2),(B211-$K$2)/($K$3-$K$2),"")</f>
        <v/>
      </c>
      <c r="D211" s="5">
        <f>IF(ISNUMBER(C211),IF(B211&lt;$K$3,LN(($K$3-$K$2)/($K$3-B211)),""),"")</f>
        <v/>
      </c>
      <c r="E211" s="5">
        <f>IF(AND(ISNUMBER(C211),ISNUMBER(D211),C211&gt;=0.2,C211&lt;=0.8),D211,"")</f>
        <v/>
      </c>
      <c r="F211" s="5">
        <f>IF(ISNUMBER(E211),A211,"")</f>
        <v/>
      </c>
      <c r="G211" s="5">
        <f>IF(AND(ISNUMBER(E211),ISNUMBER($K$4)),E211-($K$7+$K$4*A211),"")</f>
        <v/>
      </c>
    </row>
    <row r="212">
      <c r="A212" s="4" t="n"/>
      <c r="B212" s="4" t="n"/>
      <c r="C212" s="5">
        <f>IF(AND(ISNUMBER(A212),ISNUMBER(B212),ISNUMBER($K$2),ISNUMBER($K$3),$K$3&gt;$K$2),(B212-$K$2)/($K$3-$K$2),"")</f>
        <v/>
      </c>
      <c r="D212" s="5">
        <f>IF(ISNUMBER(C212),IF(B212&lt;$K$3,LN(($K$3-$K$2)/($K$3-B212)),""),"")</f>
        <v/>
      </c>
      <c r="E212" s="5">
        <f>IF(AND(ISNUMBER(C212),ISNUMBER(D212),C212&gt;=0.2,C212&lt;=0.8),D212,"")</f>
        <v/>
      </c>
      <c r="F212" s="5">
        <f>IF(ISNUMBER(E212),A212,"")</f>
        <v/>
      </c>
      <c r="G212" s="5">
        <f>IF(AND(ISNUMBER(E212),ISNUMBER($K$4)),E212-($K$7+$K$4*A212),"")</f>
        <v/>
      </c>
    </row>
    <row r="213">
      <c r="A213" s="4" t="n"/>
      <c r="B213" s="4" t="n"/>
      <c r="C213" s="5">
        <f>IF(AND(ISNUMBER(A213),ISNUMBER(B213),ISNUMBER($K$2),ISNUMBER($K$3),$K$3&gt;$K$2),(B213-$K$2)/($K$3-$K$2),"")</f>
        <v/>
      </c>
      <c r="D213" s="5">
        <f>IF(ISNUMBER(C213),IF(B213&lt;$K$3,LN(($K$3-$K$2)/($K$3-B213)),""),"")</f>
        <v/>
      </c>
      <c r="E213" s="5">
        <f>IF(AND(ISNUMBER(C213),ISNUMBER(D213),C213&gt;=0.2,C213&lt;=0.8),D213,"")</f>
        <v/>
      </c>
      <c r="F213" s="5">
        <f>IF(ISNUMBER(E213),A213,"")</f>
        <v/>
      </c>
      <c r="G213" s="5">
        <f>IF(AND(ISNUMBER(E213),ISNUMBER($K$4)),E213-($K$7+$K$4*A213),"")</f>
        <v/>
      </c>
    </row>
    <row r="214">
      <c r="A214" s="4" t="n"/>
      <c r="B214" s="4" t="n"/>
      <c r="C214" s="5">
        <f>IF(AND(ISNUMBER(A214),ISNUMBER(B214),ISNUMBER($K$2),ISNUMBER($K$3),$K$3&gt;$K$2),(B214-$K$2)/($K$3-$K$2),"")</f>
        <v/>
      </c>
      <c r="D214" s="5">
        <f>IF(ISNUMBER(C214),IF(B214&lt;$K$3,LN(($K$3-$K$2)/($K$3-B214)),""),"")</f>
        <v/>
      </c>
      <c r="E214" s="5">
        <f>IF(AND(ISNUMBER(C214),ISNUMBER(D214),C214&gt;=0.2,C214&lt;=0.8),D214,"")</f>
        <v/>
      </c>
      <c r="F214" s="5">
        <f>IF(ISNUMBER(E214),A214,"")</f>
        <v/>
      </c>
      <c r="G214" s="5">
        <f>IF(AND(ISNUMBER(E214),ISNUMBER($K$4)),E214-($K$7+$K$4*A214),"")</f>
        <v/>
      </c>
    </row>
    <row r="215">
      <c r="A215" s="4" t="n"/>
      <c r="B215" s="4" t="n"/>
      <c r="C215" s="5">
        <f>IF(AND(ISNUMBER(A215),ISNUMBER(B215),ISNUMBER($K$2),ISNUMBER($K$3),$K$3&gt;$K$2),(B215-$K$2)/($K$3-$K$2),"")</f>
        <v/>
      </c>
      <c r="D215" s="5">
        <f>IF(ISNUMBER(C215),IF(B215&lt;$K$3,LN(($K$3-$K$2)/($K$3-B215)),""),"")</f>
        <v/>
      </c>
      <c r="E215" s="5">
        <f>IF(AND(ISNUMBER(C215),ISNUMBER(D215),C215&gt;=0.2,C215&lt;=0.8),D215,"")</f>
        <v/>
      </c>
      <c r="F215" s="5">
        <f>IF(ISNUMBER(E215),A215,"")</f>
        <v/>
      </c>
      <c r="G215" s="5">
        <f>IF(AND(ISNUMBER(E215),ISNUMBER($K$4)),E215-($K$7+$K$4*A215),"")</f>
        <v/>
      </c>
    </row>
    <row r="216">
      <c r="A216" s="4" t="n"/>
      <c r="B216" s="4" t="n"/>
      <c r="C216" s="5">
        <f>IF(AND(ISNUMBER(A216),ISNUMBER(B216),ISNUMBER($K$2),ISNUMBER($K$3),$K$3&gt;$K$2),(B216-$K$2)/($K$3-$K$2),"")</f>
        <v/>
      </c>
      <c r="D216" s="5">
        <f>IF(ISNUMBER(C216),IF(B216&lt;$K$3,LN(($K$3-$K$2)/($K$3-B216)),""),"")</f>
        <v/>
      </c>
      <c r="E216" s="5">
        <f>IF(AND(ISNUMBER(C216),ISNUMBER(D216),C216&gt;=0.2,C216&lt;=0.8),D216,"")</f>
        <v/>
      </c>
      <c r="F216" s="5">
        <f>IF(ISNUMBER(E216),A216,"")</f>
        <v/>
      </c>
      <c r="G216" s="5">
        <f>IF(AND(ISNUMBER(E216),ISNUMBER($K$4)),E216-($K$7+$K$4*A216),"")</f>
        <v/>
      </c>
    </row>
    <row r="217">
      <c r="A217" s="4" t="n"/>
      <c r="B217" s="4" t="n"/>
      <c r="C217" s="5">
        <f>IF(AND(ISNUMBER(A217),ISNUMBER(B217),ISNUMBER($K$2),ISNUMBER($K$3),$K$3&gt;$K$2),(B217-$K$2)/($K$3-$K$2),"")</f>
        <v/>
      </c>
      <c r="D217" s="5">
        <f>IF(ISNUMBER(C217),IF(B217&lt;$K$3,LN(($K$3-$K$2)/($K$3-B217)),""),"")</f>
        <v/>
      </c>
      <c r="E217" s="5">
        <f>IF(AND(ISNUMBER(C217),ISNUMBER(D217),C217&gt;=0.2,C217&lt;=0.8),D217,"")</f>
        <v/>
      </c>
      <c r="F217" s="5">
        <f>IF(ISNUMBER(E217),A217,"")</f>
        <v/>
      </c>
      <c r="G217" s="5">
        <f>IF(AND(ISNUMBER(E217),ISNUMBER($K$4)),E217-($K$7+$K$4*A217),"")</f>
        <v/>
      </c>
    </row>
    <row r="218">
      <c r="A218" s="4" t="n"/>
      <c r="B218" s="4" t="n"/>
      <c r="C218" s="5">
        <f>IF(AND(ISNUMBER(A218),ISNUMBER(B218),ISNUMBER($K$2),ISNUMBER($K$3),$K$3&gt;$K$2),(B218-$K$2)/($K$3-$K$2),"")</f>
        <v/>
      </c>
      <c r="D218" s="5">
        <f>IF(ISNUMBER(C218),IF(B218&lt;$K$3,LN(($K$3-$K$2)/($K$3-B218)),""),"")</f>
        <v/>
      </c>
      <c r="E218" s="5">
        <f>IF(AND(ISNUMBER(C218),ISNUMBER(D218),C218&gt;=0.2,C218&lt;=0.8),D218,"")</f>
        <v/>
      </c>
      <c r="F218" s="5">
        <f>IF(ISNUMBER(E218),A218,"")</f>
        <v/>
      </c>
      <c r="G218" s="5">
        <f>IF(AND(ISNUMBER(E218),ISNUMBER($K$4)),E218-($K$7+$K$4*A218),"")</f>
        <v/>
      </c>
    </row>
    <row r="219">
      <c r="A219" s="4" t="n"/>
      <c r="B219" s="4" t="n"/>
      <c r="C219" s="5">
        <f>IF(AND(ISNUMBER(A219),ISNUMBER(B219),ISNUMBER($K$2),ISNUMBER($K$3),$K$3&gt;$K$2),(B219-$K$2)/($K$3-$K$2),"")</f>
        <v/>
      </c>
      <c r="D219" s="5">
        <f>IF(ISNUMBER(C219),IF(B219&lt;$K$3,LN(($K$3-$K$2)/($K$3-B219)),""),"")</f>
        <v/>
      </c>
      <c r="E219" s="5">
        <f>IF(AND(ISNUMBER(C219),ISNUMBER(D219),C219&gt;=0.2,C219&lt;=0.8),D219,"")</f>
        <v/>
      </c>
      <c r="F219" s="5">
        <f>IF(ISNUMBER(E219),A219,"")</f>
        <v/>
      </c>
      <c r="G219" s="5">
        <f>IF(AND(ISNUMBER(E219),ISNUMBER($K$4)),E219-($K$7+$K$4*A219),"")</f>
        <v/>
      </c>
    </row>
    <row r="220">
      <c r="A220" s="4" t="n"/>
      <c r="B220" s="4" t="n"/>
      <c r="C220" s="5">
        <f>IF(AND(ISNUMBER(A220),ISNUMBER(B220),ISNUMBER($K$2),ISNUMBER($K$3),$K$3&gt;$K$2),(B220-$K$2)/($K$3-$K$2),"")</f>
        <v/>
      </c>
      <c r="D220" s="5">
        <f>IF(ISNUMBER(C220),IF(B220&lt;$K$3,LN(($K$3-$K$2)/($K$3-B220)),""),"")</f>
        <v/>
      </c>
      <c r="E220" s="5">
        <f>IF(AND(ISNUMBER(C220),ISNUMBER(D220),C220&gt;=0.2,C220&lt;=0.8),D220,"")</f>
        <v/>
      </c>
      <c r="F220" s="5">
        <f>IF(ISNUMBER(E220),A220,"")</f>
        <v/>
      </c>
      <c r="G220" s="5">
        <f>IF(AND(ISNUMBER(E220),ISNUMBER($K$4)),E220-($K$7+$K$4*A220),"")</f>
        <v/>
      </c>
    </row>
    <row r="221">
      <c r="A221" s="4" t="n"/>
      <c r="B221" s="4" t="n"/>
      <c r="C221" s="5">
        <f>IF(AND(ISNUMBER(A221),ISNUMBER(B221),ISNUMBER($K$2),ISNUMBER($K$3),$K$3&gt;$K$2),(B221-$K$2)/($K$3-$K$2),"")</f>
        <v/>
      </c>
      <c r="D221" s="5">
        <f>IF(ISNUMBER(C221),IF(B221&lt;$K$3,LN(($K$3-$K$2)/($K$3-B221)),""),"")</f>
        <v/>
      </c>
      <c r="E221" s="5">
        <f>IF(AND(ISNUMBER(C221),ISNUMBER(D221),C221&gt;=0.2,C221&lt;=0.8),D221,"")</f>
        <v/>
      </c>
      <c r="F221" s="5">
        <f>IF(ISNUMBER(E221),A221,"")</f>
        <v/>
      </c>
      <c r="G221" s="5">
        <f>IF(AND(ISNUMBER(E221),ISNUMBER($K$4)),E221-($K$7+$K$4*A221),"")</f>
        <v/>
      </c>
    </row>
    <row r="222">
      <c r="A222" s="4" t="n"/>
      <c r="B222" s="4" t="n"/>
      <c r="C222" s="5">
        <f>IF(AND(ISNUMBER(A222),ISNUMBER(B222),ISNUMBER($K$2),ISNUMBER($K$3),$K$3&gt;$K$2),(B222-$K$2)/($K$3-$K$2),"")</f>
        <v/>
      </c>
      <c r="D222" s="5">
        <f>IF(ISNUMBER(C222),IF(B222&lt;$K$3,LN(($K$3-$K$2)/($K$3-B222)),""),"")</f>
        <v/>
      </c>
      <c r="E222" s="5">
        <f>IF(AND(ISNUMBER(C222),ISNUMBER(D222),C222&gt;=0.2,C222&lt;=0.8),D222,"")</f>
        <v/>
      </c>
      <c r="F222" s="5">
        <f>IF(ISNUMBER(E222),A222,"")</f>
        <v/>
      </c>
      <c r="G222" s="5">
        <f>IF(AND(ISNUMBER(E222),ISNUMBER($K$4)),E222-($K$7+$K$4*A222),"")</f>
        <v/>
      </c>
    </row>
    <row r="223">
      <c r="A223" s="4" t="n"/>
      <c r="B223" s="4" t="n"/>
      <c r="C223" s="5">
        <f>IF(AND(ISNUMBER(A223),ISNUMBER(B223),ISNUMBER($K$2),ISNUMBER($K$3),$K$3&gt;$K$2),(B223-$K$2)/($K$3-$K$2),"")</f>
        <v/>
      </c>
      <c r="D223" s="5">
        <f>IF(ISNUMBER(C223),IF(B223&lt;$K$3,LN(($K$3-$K$2)/($K$3-B223)),""),"")</f>
        <v/>
      </c>
      <c r="E223" s="5">
        <f>IF(AND(ISNUMBER(C223),ISNUMBER(D223),C223&gt;=0.2,C223&lt;=0.8),D223,"")</f>
        <v/>
      </c>
      <c r="F223" s="5">
        <f>IF(ISNUMBER(E223),A223,"")</f>
        <v/>
      </c>
      <c r="G223" s="5">
        <f>IF(AND(ISNUMBER(E223),ISNUMBER($K$4)),E223-($K$7+$K$4*A223),"")</f>
        <v/>
      </c>
    </row>
    <row r="224">
      <c r="A224" s="4" t="n"/>
      <c r="B224" s="4" t="n"/>
      <c r="C224" s="5">
        <f>IF(AND(ISNUMBER(A224),ISNUMBER(B224),ISNUMBER($K$2),ISNUMBER($K$3),$K$3&gt;$K$2),(B224-$K$2)/($K$3-$K$2),"")</f>
        <v/>
      </c>
      <c r="D224" s="5">
        <f>IF(ISNUMBER(C224),IF(B224&lt;$K$3,LN(($K$3-$K$2)/($K$3-B224)),""),"")</f>
        <v/>
      </c>
      <c r="E224" s="5">
        <f>IF(AND(ISNUMBER(C224),ISNUMBER(D224),C224&gt;=0.2,C224&lt;=0.8),D224,"")</f>
        <v/>
      </c>
      <c r="F224" s="5">
        <f>IF(ISNUMBER(E224),A224,"")</f>
        <v/>
      </c>
      <c r="G224" s="5">
        <f>IF(AND(ISNUMBER(E224),ISNUMBER($K$4)),E224-($K$7+$K$4*A224),"")</f>
        <v/>
      </c>
    </row>
    <row r="225">
      <c r="A225" s="4" t="n"/>
      <c r="B225" s="4" t="n"/>
      <c r="C225" s="5">
        <f>IF(AND(ISNUMBER(A225),ISNUMBER(B225),ISNUMBER($K$2),ISNUMBER($K$3),$K$3&gt;$K$2),(B225-$K$2)/($K$3-$K$2),"")</f>
        <v/>
      </c>
      <c r="D225" s="5">
        <f>IF(ISNUMBER(C225),IF(B225&lt;$K$3,LN(($K$3-$K$2)/($K$3-B225)),""),"")</f>
        <v/>
      </c>
      <c r="E225" s="5">
        <f>IF(AND(ISNUMBER(C225),ISNUMBER(D225),C225&gt;=0.2,C225&lt;=0.8),D225,"")</f>
        <v/>
      </c>
      <c r="F225" s="5">
        <f>IF(ISNUMBER(E225),A225,"")</f>
        <v/>
      </c>
      <c r="G225" s="5">
        <f>IF(AND(ISNUMBER(E225),ISNUMBER($K$4)),E225-($K$7+$K$4*A225),"")</f>
        <v/>
      </c>
    </row>
    <row r="226">
      <c r="A226" s="4" t="n"/>
      <c r="B226" s="4" t="n"/>
      <c r="C226" s="5">
        <f>IF(AND(ISNUMBER(A226),ISNUMBER(B226),ISNUMBER($K$2),ISNUMBER($K$3),$K$3&gt;$K$2),(B226-$K$2)/($K$3-$K$2),"")</f>
        <v/>
      </c>
      <c r="D226" s="5">
        <f>IF(ISNUMBER(C226),IF(B226&lt;$K$3,LN(($K$3-$K$2)/($K$3-B226)),""),"")</f>
        <v/>
      </c>
      <c r="E226" s="5">
        <f>IF(AND(ISNUMBER(C226),ISNUMBER(D226),C226&gt;=0.2,C226&lt;=0.8),D226,"")</f>
        <v/>
      </c>
      <c r="F226" s="5">
        <f>IF(ISNUMBER(E226),A226,"")</f>
        <v/>
      </c>
      <c r="G226" s="5">
        <f>IF(AND(ISNUMBER(E226),ISNUMBER($K$4)),E226-($K$7+$K$4*A226),"")</f>
        <v/>
      </c>
    </row>
    <row r="227">
      <c r="A227" s="4" t="n"/>
      <c r="B227" s="4" t="n"/>
      <c r="C227" s="5">
        <f>IF(AND(ISNUMBER(A227),ISNUMBER(B227),ISNUMBER($K$2),ISNUMBER($K$3),$K$3&gt;$K$2),(B227-$K$2)/($K$3-$K$2),"")</f>
        <v/>
      </c>
      <c r="D227" s="5">
        <f>IF(ISNUMBER(C227),IF(B227&lt;$K$3,LN(($K$3-$K$2)/($K$3-B227)),""),"")</f>
        <v/>
      </c>
      <c r="E227" s="5">
        <f>IF(AND(ISNUMBER(C227),ISNUMBER(D227),C227&gt;=0.2,C227&lt;=0.8),D227,"")</f>
        <v/>
      </c>
      <c r="F227" s="5">
        <f>IF(ISNUMBER(E227),A227,"")</f>
        <v/>
      </c>
      <c r="G227" s="5">
        <f>IF(AND(ISNUMBER(E227),ISNUMBER($K$4)),E227-($K$7+$K$4*A227),"")</f>
        <v/>
      </c>
    </row>
    <row r="228">
      <c r="A228" s="4" t="n"/>
      <c r="B228" s="4" t="n"/>
      <c r="C228" s="5">
        <f>IF(AND(ISNUMBER(A228),ISNUMBER(B228),ISNUMBER($K$2),ISNUMBER($K$3),$K$3&gt;$K$2),(B228-$K$2)/($K$3-$K$2),"")</f>
        <v/>
      </c>
      <c r="D228" s="5">
        <f>IF(ISNUMBER(C228),IF(B228&lt;$K$3,LN(($K$3-$K$2)/($K$3-B228)),""),"")</f>
        <v/>
      </c>
      <c r="E228" s="5">
        <f>IF(AND(ISNUMBER(C228),ISNUMBER(D228),C228&gt;=0.2,C228&lt;=0.8),D228,"")</f>
        <v/>
      </c>
      <c r="F228" s="5">
        <f>IF(ISNUMBER(E228),A228,"")</f>
        <v/>
      </c>
      <c r="G228" s="5">
        <f>IF(AND(ISNUMBER(E228),ISNUMBER($K$4)),E228-($K$7+$K$4*A228),"")</f>
        <v/>
      </c>
    </row>
    <row r="229">
      <c r="A229" s="4" t="n"/>
      <c r="B229" s="4" t="n"/>
      <c r="C229" s="5">
        <f>IF(AND(ISNUMBER(A229),ISNUMBER(B229),ISNUMBER($K$2),ISNUMBER($K$3),$K$3&gt;$K$2),(B229-$K$2)/($K$3-$K$2),"")</f>
        <v/>
      </c>
      <c r="D229" s="5">
        <f>IF(ISNUMBER(C229),IF(B229&lt;$K$3,LN(($K$3-$K$2)/($K$3-B229)),""),"")</f>
        <v/>
      </c>
      <c r="E229" s="5">
        <f>IF(AND(ISNUMBER(C229),ISNUMBER(D229),C229&gt;=0.2,C229&lt;=0.8),D229,"")</f>
        <v/>
      </c>
      <c r="F229" s="5">
        <f>IF(ISNUMBER(E229),A229,"")</f>
        <v/>
      </c>
      <c r="G229" s="5">
        <f>IF(AND(ISNUMBER(E229),ISNUMBER($K$4)),E229-($K$7+$K$4*A229),"")</f>
        <v/>
      </c>
    </row>
    <row r="230">
      <c r="A230" s="4" t="n"/>
      <c r="B230" s="4" t="n"/>
      <c r="C230" s="5">
        <f>IF(AND(ISNUMBER(A230),ISNUMBER(B230),ISNUMBER($K$2),ISNUMBER($K$3),$K$3&gt;$K$2),(B230-$K$2)/($K$3-$K$2),"")</f>
        <v/>
      </c>
      <c r="D230" s="5">
        <f>IF(ISNUMBER(C230),IF(B230&lt;$K$3,LN(($K$3-$K$2)/($K$3-B230)),""),"")</f>
        <v/>
      </c>
      <c r="E230" s="5">
        <f>IF(AND(ISNUMBER(C230),ISNUMBER(D230),C230&gt;=0.2,C230&lt;=0.8),D230,"")</f>
        <v/>
      </c>
      <c r="F230" s="5">
        <f>IF(ISNUMBER(E230),A230,"")</f>
        <v/>
      </c>
      <c r="G230" s="5">
        <f>IF(AND(ISNUMBER(E230),ISNUMBER($K$4)),E230-($K$7+$K$4*A230),"")</f>
        <v/>
      </c>
    </row>
    <row r="231">
      <c r="A231" s="4" t="n"/>
      <c r="B231" s="4" t="n"/>
      <c r="C231" s="5">
        <f>IF(AND(ISNUMBER(A231),ISNUMBER(B231),ISNUMBER($K$2),ISNUMBER($K$3),$K$3&gt;$K$2),(B231-$K$2)/($K$3-$K$2),"")</f>
        <v/>
      </c>
      <c r="D231" s="5">
        <f>IF(ISNUMBER(C231),IF(B231&lt;$K$3,LN(($K$3-$K$2)/($K$3-B231)),""),"")</f>
        <v/>
      </c>
      <c r="E231" s="5">
        <f>IF(AND(ISNUMBER(C231),ISNUMBER(D231),C231&gt;=0.2,C231&lt;=0.8),D231,"")</f>
        <v/>
      </c>
      <c r="F231" s="5">
        <f>IF(ISNUMBER(E231),A231,"")</f>
        <v/>
      </c>
      <c r="G231" s="5">
        <f>IF(AND(ISNUMBER(E231),ISNUMBER($K$4)),E231-($K$7+$K$4*A231),"")</f>
        <v/>
      </c>
    </row>
    <row r="232">
      <c r="A232" s="4" t="n"/>
      <c r="B232" s="4" t="n"/>
      <c r="C232" s="5">
        <f>IF(AND(ISNUMBER(A232),ISNUMBER(B232),ISNUMBER($K$2),ISNUMBER($K$3),$K$3&gt;$K$2),(B232-$K$2)/($K$3-$K$2),"")</f>
        <v/>
      </c>
      <c r="D232" s="5">
        <f>IF(ISNUMBER(C232),IF(B232&lt;$K$3,LN(($K$3-$K$2)/($K$3-B232)),""),"")</f>
        <v/>
      </c>
      <c r="E232" s="5">
        <f>IF(AND(ISNUMBER(C232),ISNUMBER(D232),C232&gt;=0.2,C232&lt;=0.8),D232,"")</f>
        <v/>
      </c>
      <c r="F232" s="5">
        <f>IF(ISNUMBER(E232),A232,"")</f>
        <v/>
      </c>
      <c r="G232" s="5">
        <f>IF(AND(ISNUMBER(E232),ISNUMBER($K$4)),E232-($K$7+$K$4*A232),"")</f>
        <v/>
      </c>
    </row>
    <row r="233">
      <c r="A233" s="4" t="n"/>
      <c r="B233" s="4" t="n"/>
      <c r="C233" s="5">
        <f>IF(AND(ISNUMBER(A233),ISNUMBER(B233),ISNUMBER($K$2),ISNUMBER($K$3),$K$3&gt;$K$2),(B233-$K$2)/($K$3-$K$2),"")</f>
        <v/>
      </c>
      <c r="D233" s="5">
        <f>IF(ISNUMBER(C233),IF(B233&lt;$K$3,LN(($K$3-$K$2)/($K$3-B233)),""),"")</f>
        <v/>
      </c>
      <c r="E233" s="5">
        <f>IF(AND(ISNUMBER(C233),ISNUMBER(D233),C233&gt;=0.2,C233&lt;=0.8),D233,"")</f>
        <v/>
      </c>
      <c r="F233" s="5">
        <f>IF(ISNUMBER(E233),A233,"")</f>
        <v/>
      </c>
      <c r="G233" s="5">
        <f>IF(AND(ISNUMBER(E233),ISNUMBER($K$4)),E233-($K$7+$K$4*A233),"")</f>
        <v/>
      </c>
    </row>
    <row r="234">
      <c r="A234" s="4" t="n"/>
      <c r="B234" s="4" t="n"/>
      <c r="C234" s="5">
        <f>IF(AND(ISNUMBER(A234),ISNUMBER(B234),ISNUMBER($K$2),ISNUMBER($K$3),$K$3&gt;$K$2),(B234-$K$2)/($K$3-$K$2),"")</f>
        <v/>
      </c>
      <c r="D234" s="5">
        <f>IF(ISNUMBER(C234),IF(B234&lt;$K$3,LN(($K$3-$K$2)/($K$3-B234)),""),"")</f>
        <v/>
      </c>
      <c r="E234" s="5">
        <f>IF(AND(ISNUMBER(C234),ISNUMBER(D234),C234&gt;=0.2,C234&lt;=0.8),D234,"")</f>
        <v/>
      </c>
      <c r="F234" s="5">
        <f>IF(ISNUMBER(E234),A234,"")</f>
        <v/>
      </c>
      <c r="G234" s="5">
        <f>IF(AND(ISNUMBER(E234),ISNUMBER($K$4)),E234-($K$7+$K$4*A234),"")</f>
        <v/>
      </c>
    </row>
    <row r="235">
      <c r="A235" s="4" t="n"/>
      <c r="B235" s="4" t="n"/>
      <c r="C235" s="5">
        <f>IF(AND(ISNUMBER(A235),ISNUMBER(B235),ISNUMBER($K$2),ISNUMBER($K$3),$K$3&gt;$K$2),(B235-$K$2)/($K$3-$K$2),"")</f>
        <v/>
      </c>
      <c r="D235" s="5">
        <f>IF(ISNUMBER(C235),IF(B235&lt;$K$3,LN(($K$3-$K$2)/($K$3-B235)),""),"")</f>
        <v/>
      </c>
      <c r="E235" s="5">
        <f>IF(AND(ISNUMBER(C235),ISNUMBER(D235),C235&gt;=0.2,C235&lt;=0.8),D235,"")</f>
        <v/>
      </c>
      <c r="F235" s="5">
        <f>IF(ISNUMBER(E235),A235,"")</f>
        <v/>
      </c>
      <c r="G235" s="5">
        <f>IF(AND(ISNUMBER(E235),ISNUMBER($K$4)),E235-($K$7+$K$4*A235),"")</f>
        <v/>
      </c>
    </row>
    <row r="236">
      <c r="A236" s="4" t="n"/>
      <c r="B236" s="4" t="n"/>
      <c r="C236" s="5">
        <f>IF(AND(ISNUMBER(A236),ISNUMBER(B236),ISNUMBER($K$2),ISNUMBER($K$3),$K$3&gt;$K$2),(B236-$K$2)/($K$3-$K$2),"")</f>
        <v/>
      </c>
      <c r="D236" s="5">
        <f>IF(ISNUMBER(C236),IF(B236&lt;$K$3,LN(($K$3-$K$2)/($K$3-B236)),""),"")</f>
        <v/>
      </c>
      <c r="E236" s="5">
        <f>IF(AND(ISNUMBER(C236),ISNUMBER(D236),C236&gt;=0.2,C236&lt;=0.8),D236,"")</f>
        <v/>
      </c>
      <c r="F236" s="5">
        <f>IF(ISNUMBER(E236),A236,"")</f>
        <v/>
      </c>
      <c r="G236" s="5">
        <f>IF(AND(ISNUMBER(E236),ISNUMBER($K$4)),E236-($K$7+$K$4*A236),"")</f>
        <v/>
      </c>
    </row>
    <row r="237">
      <c r="A237" s="4" t="n"/>
      <c r="B237" s="4" t="n"/>
      <c r="C237" s="5">
        <f>IF(AND(ISNUMBER(A237),ISNUMBER(B237),ISNUMBER($K$2),ISNUMBER($K$3),$K$3&gt;$K$2),(B237-$K$2)/($K$3-$K$2),"")</f>
        <v/>
      </c>
      <c r="D237" s="5">
        <f>IF(ISNUMBER(C237),IF(B237&lt;$K$3,LN(($K$3-$K$2)/($K$3-B237)),""),"")</f>
        <v/>
      </c>
      <c r="E237" s="5">
        <f>IF(AND(ISNUMBER(C237),ISNUMBER(D237),C237&gt;=0.2,C237&lt;=0.8),D237,"")</f>
        <v/>
      </c>
      <c r="F237" s="5">
        <f>IF(ISNUMBER(E237),A237,"")</f>
        <v/>
      </c>
      <c r="G237" s="5">
        <f>IF(AND(ISNUMBER(E237),ISNUMBER($K$4)),E237-($K$7+$K$4*A237),"")</f>
        <v/>
      </c>
    </row>
    <row r="238">
      <c r="A238" s="4" t="n"/>
      <c r="B238" s="4" t="n"/>
      <c r="C238" s="5">
        <f>IF(AND(ISNUMBER(A238),ISNUMBER(B238),ISNUMBER($K$2),ISNUMBER($K$3),$K$3&gt;$K$2),(B238-$K$2)/($K$3-$K$2),"")</f>
        <v/>
      </c>
      <c r="D238" s="5">
        <f>IF(ISNUMBER(C238),IF(B238&lt;$K$3,LN(($K$3-$K$2)/($K$3-B238)),""),"")</f>
        <v/>
      </c>
      <c r="E238" s="5">
        <f>IF(AND(ISNUMBER(C238),ISNUMBER(D238),C238&gt;=0.2,C238&lt;=0.8),D238,"")</f>
        <v/>
      </c>
      <c r="F238" s="5">
        <f>IF(ISNUMBER(E238),A238,"")</f>
        <v/>
      </c>
      <c r="G238" s="5">
        <f>IF(AND(ISNUMBER(E238),ISNUMBER($K$4)),E238-($K$7+$K$4*A238),"")</f>
        <v/>
      </c>
    </row>
    <row r="239">
      <c r="A239" s="4" t="n"/>
      <c r="B239" s="4" t="n"/>
      <c r="C239" s="5">
        <f>IF(AND(ISNUMBER(A239),ISNUMBER(B239),ISNUMBER($K$2),ISNUMBER($K$3),$K$3&gt;$K$2),(B239-$K$2)/($K$3-$K$2),"")</f>
        <v/>
      </c>
      <c r="D239" s="5">
        <f>IF(ISNUMBER(C239),IF(B239&lt;$K$3,LN(($K$3-$K$2)/($K$3-B239)),""),"")</f>
        <v/>
      </c>
      <c r="E239" s="5">
        <f>IF(AND(ISNUMBER(C239),ISNUMBER(D239),C239&gt;=0.2,C239&lt;=0.8),D239,"")</f>
        <v/>
      </c>
      <c r="F239" s="5">
        <f>IF(ISNUMBER(E239),A239,"")</f>
        <v/>
      </c>
      <c r="G239" s="5">
        <f>IF(AND(ISNUMBER(E239),ISNUMBER($K$4)),E239-($K$7+$K$4*A239),"")</f>
        <v/>
      </c>
    </row>
    <row r="240">
      <c r="A240" s="4" t="n"/>
      <c r="B240" s="4" t="n"/>
      <c r="C240" s="5">
        <f>IF(AND(ISNUMBER(A240),ISNUMBER(B240),ISNUMBER($K$2),ISNUMBER($K$3),$K$3&gt;$K$2),(B240-$K$2)/($K$3-$K$2),"")</f>
        <v/>
      </c>
      <c r="D240" s="5">
        <f>IF(ISNUMBER(C240),IF(B240&lt;$K$3,LN(($K$3-$K$2)/($K$3-B240)),""),"")</f>
        <v/>
      </c>
      <c r="E240" s="5">
        <f>IF(AND(ISNUMBER(C240),ISNUMBER(D240),C240&gt;=0.2,C240&lt;=0.8),D240,"")</f>
        <v/>
      </c>
      <c r="F240" s="5">
        <f>IF(ISNUMBER(E240),A240,"")</f>
        <v/>
      </c>
      <c r="G240" s="5">
        <f>IF(AND(ISNUMBER(E240),ISNUMBER($K$4)),E240-($K$7+$K$4*A240),"")</f>
        <v/>
      </c>
    </row>
    <row r="241">
      <c r="A241" s="4" t="n"/>
      <c r="B241" s="4" t="n"/>
      <c r="C241" s="5">
        <f>IF(AND(ISNUMBER(A241),ISNUMBER(B241),ISNUMBER($K$2),ISNUMBER($K$3),$K$3&gt;$K$2),(B241-$K$2)/($K$3-$K$2),"")</f>
        <v/>
      </c>
      <c r="D241" s="5">
        <f>IF(ISNUMBER(C241),IF(B241&lt;$K$3,LN(($K$3-$K$2)/($K$3-B241)),""),"")</f>
        <v/>
      </c>
      <c r="E241" s="5">
        <f>IF(AND(ISNUMBER(C241),ISNUMBER(D241),C241&gt;=0.2,C241&lt;=0.8),D241,"")</f>
        <v/>
      </c>
      <c r="F241" s="5">
        <f>IF(ISNUMBER(E241),A241,"")</f>
        <v/>
      </c>
      <c r="G241" s="5">
        <f>IF(AND(ISNUMBER(E241),ISNUMBER($K$4)),E241-($K$7+$K$4*A241),"")</f>
        <v/>
      </c>
    </row>
    <row r="242">
      <c r="A242" s="4" t="n"/>
      <c r="B242" s="4" t="n"/>
      <c r="C242" s="5">
        <f>IF(AND(ISNUMBER(A242),ISNUMBER(B242),ISNUMBER($K$2),ISNUMBER($K$3),$K$3&gt;$K$2),(B242-$K$2)/($K$3-$K$2),"")</f>
        <v/>
      </c>
      <c r="D242" s="5">
        <f>IF(ISNUMBER(C242),IF(B242&lt;$K$3,LN(($K$3-$K$2)/($K$3-B242)),""),"")</f>
        <v/>
      </c>
      <c r="E242" s="5">
        <f>IF(AND(ISNUMBER(C242),ISNUMBER(D242),C242&gt;=0.2,C242&lt;=0.8),D242,"")</f>
        <v/>
      </c>
      <c r="F242" s="5">
        <f>IF(ISNUMBER(E242),A242,"")</f>
        <v/>
      </c>
      <c r="G242" s="5">
        <f>IF(AND(ISNUMBER(E242),ISNUMBER($K$4)),E242-($K$7+$K$4*A242),"")</f>
        <v/>
      </c>
    </row>
    <row r="243">
      <c r="A243" s="4" t="n"/>
      <c r="B243" s="4" t="n"/>
      <c r="C243" s="5">
        <f>IF(AND(ISNUMBER(A243),ISNUMBER(B243),ISNUMBER($K$2),ISNUMBER($K$3),$K$3&gt;$K$2),(B243-$K$2)/($K$3-$K$2),"")</f>
        <v/>
      </c>
      <c r="D243" s="5">
        <f>IF(ISNUMBER(C243),IF(B243&lt;$K$3,LN(($K$3-$K$2)/($K$3-B243)),""),"")</f>
        <v/>
      </c>
      <c r="E243" s="5">
        <f>IF(AND(ISNUMBER(C243),ISNUMBER(D243),C243&gt;=0.2,C243&lt;=0.8),D243,"")</f>
        <v/>
      </c>
      <c r="F243" s="5">
        <f>IF(ISNUMBER(E243),A243,"")</f>
        <v/>
      </c>
      <c r="G243" s="5">
        <f>IF(AND(ISNUMBER(E243),ISNUMBER($K$4)),E243-($K$7+$K$4*A243),"")</f>
        <v/>
      </c>
    </row>
    <row r="244">
      <c r="A244" s="4" t="n"/>
      <c r="B244" s="4" t="n"/>
      <c r="C244" s="5">
        <f>IF(AND(ISNUMBER(A244),ISNUMBER(B244),ISNUMBER($K$2),ISNUMBER($K$3),$K$3&gt;$K$2),(B244-$K$2)/($K$3-$K$2),"")</f>
        <v/>
      </c>
      <c r="D244" s="5">
        <f>IF(ISNUMBER(C244),IF(B244&lt;$K$3,LN(($K$3-$K$2)/($K$3-B244)),""),"")</f>
        <v/>
      </c>
      <c r="E244" s="5">
        <f>IF(AND(ISNUMBER(C244),ISNUMBER(D244),C244&gt;=0.2,C244&lt;=0.8),D244,"")</f>
        <v/>
      </c>
      <c r="F244" s="5">
        <f>IF(ISNUMBER(E244),A244,"")</f>
        <v/>
      </c>
      <c r="G244" s="5">
        <f>IF(AND(ISNUMBER(E244),ISNUMBER($K$4)),E244-($K$7+$K$4*A244),"")</f>
        <v/>
      </c>
    </row>
    <row r="245">
      <c r="A245" s="4" t="n"/>
      <c r="B245" s="4" t="n"/>
      <c r="C245" s="5">
        <f>IF(AND(ISNUMBER(A245),ISNUMBER(B245),ISNUMBER($K$2),ISNUMBER($K$3),$K$3&gt;$K$2),(B245-$K$2)/($K$3-$K$2),"")</f>
        <v/>
      </c>
      <c r="D245" s="5">
        <f>IF(ISNUMBER(C245),IF(B245&lt;$K$3,LN(($K$3-$K$2)/($K$3-B245)),""),"")</f>
        <v/>
      </c>
      <c r="E245" s="5">
        <f>IF(AND(ISNUMBER(C245),ISNUMBER(D245),C245&gt;=0.2,C245&lt;=0.8),D245,"")</f>
        <v/>
      </c>
      <c r="F245" s="5">
        <f>IF(ISNUMBER(E245),A245,"")</f>
        <v/>
      </c>
      <c r="G245" s="5">
        <f>IF(AND(ISNUMBER(E245),ISNUMBER($K$4)),E245-($K$7+$K$4*A245),"")</f>
        <v/>
      </c>
    </row>
    <row r="246">
      <c r="A246" s="4" t="n"/>
      <c r="B246" s="4" t="n"/>
      <c r="C246" s="5">
        <f>IF(AND(ISNUMBER(A246),ISNUMBER(B246),ISNUMBER($K$2),ISNUMBER($K$3),$K$3&gt;$K$2),(B246-$K$2)/($K$3-$K$2),"")</f>
        <v/>
      </c>
      <c r="D246" s="5">
        <f>IF(ISNUMBER(C246),IF(B246&lt;$K$3,LN(($K$3-$K$2)/($K$3-B246)),""),"")</f>
        <v/>
      </c>
      <c r="E246" s="5">
        <f>IF(AND(ISNUMBER(C246),ISNUMBER(D246),C246&gt;=0.2,C246&lt;=0.8),D246,"")</f>
        <v/>
      </c>
      <c r="F246" s="5">
        <f>IF(ISNUMBER(E246),A246,"")</f>
        <v/>
      </c>
      <c r="G246" s="5">
        <f>IF(AND(ISNUMBER(E246),ISNUMBER($K$4)),E246-($K$7+$K$4*A246),"")</f>
        <v/>
      </c>
    </row>
    <row r="247">
      <c r="A247" s="4" t="n"/>
      <c r="B247" s="4" t="n"/>
      <c r="C247" s="5">
        <f>IF(AND(ISNUMBER(A247),ISNUMBER(B247),ISNUMBER($K$2),ISNUMBER($K$3),$K$3&gt;$K$2),(B247-$K$2)/($K$3-$K$2),"")</f>
        <v/>
      </c>
      <c r="D247" s="5">
        <f>IF(ISNUMBER(C247),IF(B247&lt;$K$3,LN(($K$3-$K$2)/($K$3-B247)),""),"")</f>
        <v/>
      </c>
      <c r="E247" s="5">
        <f>IF(AND(ISNUMBER(C247),ISNUMBER(D247),C247&gt;=0.2,C247&lt;=0.8),D247,"")</f>
        <v/>
      </c>
      <c r="F247" s="5">
        <f>IF(ISNUMBER(E247),A247,"")</f>
        <v/>
      </c>
      <c r="G247" s="5">
        <f>IF(AND(ISNUMBER(E247),ISNUMBER($K$4)),E247-($K$7+$K$4*A247),"")</f>
        <v/>
      </c>
    </row>
    <row r="248">
      <c r="A248" s="4" t="n"/>
      <c r="B248" s="4" t="n"/>
      <c r="C248" s="5">
        <f>IF(AND(ISNUMBER(A248),ISNUMBER(B248),ISNUMBER($K$2),ISNUMBER($K$3),$K$3&gt;$K$2),(B248-$K$2)/($K$3-$K$2),"")</f>
        <v/>
      </c>
      <c r="D248" s="5">
        <f>IF(ISNUMBER(C248),IF(B248&lt;$K$3,LN(($K$3-$K$2)/($K$3-B248)),""),"")</f>
        <v/>
      </c>
      <c r="E248" s="5">
        <f>IF(AND(ISNUMBER(C248),ISNUMBER(D248),C248&gt;=0.2,C248&lt;=0.8),D248,"")</f>
        <v/>
      </c>
      <c r="F248" s="5">
        <f>IF(ISNUMBER(E248),A248,"")</f>
        <v/>
      </c>
      <c r="G248" s="5">
        <f>IF(AND(ISNUMBER(E248),ISNUMBER($K$4)),E248-($K$7+$K$4*A248),"")</f>
        <v/>
      </c>
    </row>
    <row r="249">
      <c r="A249" s="4" t="n"/>
      <c r="B249" s="4" t="n"/>
      <c r="C249" s="5">
        <f>IF(AND(ISNUMBER(A249),ISNUMBER(B249),ISNUMBER($K$2),ISNUMBER($K$3),$K$3&gt;$K$2),(B249-$K$2)/($K$3-$K$2),"")</f>
        <v/>
      </c>
      <c r="D249" s="5">
        <f>IF(ISNUMBER(C249),IF(B249&lt;$K$3,LN(($K$3-$K$2)/($K$3-B249)),""),"")</f>
        <v/>
      </c>
      <c r="E249" s="5">
        <f>IF(AND(ISNUMBER(C249),ISNUMBER(D249),C249&gt;=0.2,C249&lt;=0.8),D249,"")</f>
        <v/>
      </c>
      <c r="F249" s="5">
        <f>IF(ISNUMBER(E249),A249,"")</f>
        <v/>
      </c>
      <c r="G249" s="5">
        <f>IF(AND(ISNUMBER(E249),ISNUMBER($K$4)),E249-($K$7+$K$4*A249),"")</f>
        <v/>
      </c>
    </row>
    <row r="250">
      <c r="A250" s="4" t="n"/>
      <c r="B250" s="4" t="n"/>
      <c r="C250" s="5">
        <f>IF(AND(ISNUMBER(A250),ISNUMBER(B250),ISNUMBER($K$2),ISNUMBER($K$3),$K$3&gt;$K$2),(B250-$K$2)/($K$3-$K$2),"")</f>
        <v/>
      </c>
      <c r="D250" s="5">
        <f>IF(ISNUMBER(C250),IF(B250&lt;$K$3,LN(($K$3-$K$2)/($K$3-B250)),""),"")</f>
        <v/>
      </c>
      <c r="E250" s="5">
        <f>IF(AND(ISNUMBER(C250),ISNUMBER(D250),C250&gt;=0.2,C250&lt;=0.8),D250,"")</f>
        <v/>
      </c>
      <c r="F250" s="5">
        <f>IF(ISNUMBER(E250),A250,"")</f>
        <v/>
      </c>
      <c r="G250" s="5">
        <f>IF(AND(ISNUMBER(E250),ISNUMBER($K$4)),E250-($K$7+$K$4*A250),"")</f>
        <v/>
      </c>
    </row>
    <row r="251">
      <c r="A251" s="4" t="n"/>
      <c r="B251" s="4" t="n"/>
      <c r="C251" s="5">
        <f>IF(AND(ISNUMBER(A251),ISNUMBER(B251),ISNUMBER($K$2),ISNUMBER($K$3),$K$3&gt;$K$2),(B251-$K$2)/($K$3-$K$2),"")</f>
        <v/>
      </c>
      <c r="D251" s="5">
        <f>IF(ISNUMBER(C251),IF(B251&lt;$K$3,LN(($K$3-$K$2)/($K$3-B251)),""),"")</f>
        <v/>
      </c>
      <c r="E251" s="5">
        <f>IF(AND(ISNUMBER(C251),ISNUMBER(D251),C251&gt;=0.2,C251&lt;=0.8),D251,"")</f>
        <v/>
      </c>
      <c r="F251" s="5">
        <f>IF(ISNUMBER(E251),A251,"")</f>
        <v/>
      </c>
      <c r="G251" s="5">
        <f>IF(AND(ISNUMBER(E251),ISNUMBER($K$4)),E251-($K$7+$K$4*A251),"")</f>
        <v/>
      </c>
    </row>
    <row r="252">
      <c r="A252" s="4" t="n"/>
      <c r="B252" s="4" t="n"/>
      <c r="C252" s="5">
        <f>IF(AND(ISNUMBER(A252),ISNUMBER(B252),ISNUMBER($K$2),ISNUMBER($K$3),$K$3&gt;$K$2),(B252-$K$2)/($K$3-$K$2),"")</f>
        <v/>
      </c>
      <c r="D252" s="5">
        <f>IF(ISNUMBER(C252),IF(B252&lt;$K$3,LN(($K$3-$K$2)/($K$3-B252)),""),"")</f>
        <v/>
      </c>
      <c r="E252" s="5">
        <f>IF(AND(ISNUMBER(C252),ISNUMBER(D252),C252&gt;=0.2,C252&lt;=0.8),D252,"")</f>
        <v/>
      </c>
      <c r="F252" s="5">
        <f>IF(ISNUMBER(E252),A252,"")</f>
        <v/>
      </c>
      <c r="G252" s="5">
        <f>IF(AND(ISNUMBER(E252),ISNUMBER($K$4)),E252-($K$7+$K$4*A252),"")</f>
        <v/>
      </c>
    </row>
    <row r="253">
      <c r="A253" s="4" t="n"/>
      <c r="B253" s="4" t="n"/>
      <c r="C253" s="5">
        <f>IF(AND(ISNUMBER(A253),ISNUMBER(B253),ISNUMBER($K$2),ISNUMBER($K$3),$K$3&gt;$K$2),(B253-$K$2)/($K$3-$K$2),"")</f>
        <v/>
      </c>
      <c r="D253" s="5">
        <f>IF(ISNUMBER(C253),IF(B253&lt;$K$3,LN(($K$3-$K$2)/($K$3-B253)),""),"")</f>
        <v/>
      </c>
      <c r="E253" s="5">
        <f>IF(AND(ISNUMBER(C253),ISNUMBER(D253),C253&gt;=0.2,C253&lt;=0.8),D253,"")</f>
        <v/>
      </c>
      <c r="F253" s="5">
        <f>IF(ISNUMBER(E253),A253,"")</f>
        <v/>
      </c>
      <c r="G253" s="5">
        <f>IF(AND(ISNUMBER(E253),ISNUMBER($K$4)),E253-($K$7+$K$4*A253),"")</f>
        <v/>
      </c>
    </row>
    <row r="254">
      <c r="A254" s="4" t="n"/>
      <c r="B254" s="4" t="n"/>
      <c r="C254" s="5">
        <f>IF(AND(ISNUMBER(A254),ISNUMBER(B254),ISNUMBER($K$2),ISNUMBER($K$3),$K$3&gt;$K$2),(B254-$K$2)/($K$3-$K$2),"")</f>
        <v/>
      </c>
      <c r="D254" s="5">
        <f>IF(ISNUMBER(C254),IF(B254&lt;$K$3,LN(($K$3-$K$2)/($K$3-B254)),""),"")</f>
        <v/>
      </c>
      <c r="E254" s="5">
        <f>IF(AND(ISNUMBER(C254),ISNUMBER(D254),C254&gt;=0.2,C254&lt;=0.8),D254,"")</f>
        <v/>
      </c>
      <c r="F254" s="5">
        <f>IF(ISNUMBER(E254),A254,"")</f>
        <v/>
      </c>
      <c r="G254" s="5">
        <f>IF(AND(ISNUMBER(E254),ISNUMBER($K$4)),E254-($K$7+$K$4*A254),"")</f>
        <v/>
      </c>
    </row>
    <row r="255">
      <c r="A255" s="4" t="n"/>
      <c r="B255" s="4" t="n"/>
      <c r="C255" s="5">
        <f>IF(AND(ISNUMBER(A255),ISNUMBER(B255),ISNUMBER($K$2),ISNUMBER($K$3),$K$3&gt;$K$2),(B255-$K$2)/($K$3-$K$2),"")</f>
        <v/>
      </c>
      <c r="D255" s="5">
        <f>IF(ISNUMBER(C255),IF(B255&lt;$K$3,LN(($K$3-$K$2)/($K$3-B255)),""),"")</f>
        <v/>
      </c>
      <c r="E255" s="5">
        <f>IF(AND(ISNUMBER(C255),ISNUMBER(D255),C255&gt;=0.2,C255&lt;=0.8),D255,"")</f>
        <v/>
      </c>
      <c r="F255" s="5">
        <f>IF(ISNUMBER(E255),A255,"")</f>
        <v/>
      </c>
      <c r="G255" s="5">
        <f>IF(AND(ISNUMBER(E255),ISNUMBER($K$4)),E255-($K$7+$K$4*A255),"")</f>
        <v/>
      </c>
    </row>
    <row r="256">
      <c r="A256" s="4" t="n"/>
      <c r="B256" s="4" t="n"/>
      <c r="C256" s="5">
        <f>IF(AND(ISNUMBER(A256),ISNUMBER(B256),ISNUMBER($K$2),ISNUMBER($K$3),$K$3&gt;$K$2),(B256-$K$2)/($K$3-$K$2),"")</f>
        <v/>
      </c>
      <c r="D256" s="5">
        <f>IF(ISNUMBER(C256),IF(B256&lt;$K$3,LN(($K$3-$K$2)/($K$3-B256)),""),"")</f>
        <v/>
      </c>
      <c r="E256" s="5">
        <f>IF(AND(ISNUMBER(C256),ISNUMBER(D256),C256&gt;=0.2,C256&lt;=0.8),D256,"")</f>
        <v/>
      </c>
      <c r="F256" s="5">
        <f>IF(ISNUMBER(E256),A256,"")</f>
        <v/>
      </c>
      <c r="G256" s="5">
        <f>IF(AND(ISNUMBER(E256),ISNUMBER($K$4)),E256-($K$7+$K$4*A256),"")</f>
        <v/>
      </c>
    </row>
    <row r="257">
      <c r="A257" s="4" t="n"/>
      <c r="B257" s="4" t="n"/>
      <c r="C257" s="5">
        <f>IF(AND(ISNUMBER(A257),ISNUMBER(B257),ISNUMBER($K$2),ISNUMBER($K$3),$K$3&gt;$K$2),(B257-$K$2)/($K$3-$K$2),"")</f>
        <v/>
      </c>
      <c r="D257" s="5">
        <f>IF(ISNUMBER(C257),IF(B257&lt;$K$3,LN(($K$3-$K$2)/($K$3-B257)),""),"")</f>
        <v/>
      </c>
      <c r="E257" s="5">
        <f>IF(AND(ISNUMBER(C257),ISNUMBER(D257),C257&gt;=0.2,C257&lt;=0.8),D257,"")</f>
        <v/>
      </c>
      <c r="F257" s="5">
        <f>IF(ISNUMBER(E257),A257,"")</f>
        <v/>
      </c>
      <c r="G257" s="5">
        <f>IF(AND(ISNUMBER(E257),ISNUMBER($K$4)),E257-($K$7+$K$4*A257),"")</f>
        <v/>
      </c>
    </row>
    <row r="258">
      <c r="A258" s="4" t="n"/>
      <c r="B258" s="4" t="n"/>
      <c r="C258" s="5">
        <f>IF(AND(ISNUMBER(A258),ISNUMBER(B258),ISNUMBER($K$2),ISNUMBER($K$3),$K$3&gt;$K$2),(B258-$K$2)/($K$3-$K$2),"")</f>
        <v/>
      </c>
      <c r="D258" s="5">
        <f>IF(ISNUMBER(C258),IF(B258&lt;$K$3,LN(($K$3-$K$2)/($K$3-B258)),""),"")</f>
        <v/>
      </c>
      <c r="E258" s="5">
        <f>IF(AND(ISNUMBER(C258),ISNUMBER(D258),C258&gt;=0.2,C258&lt;=0.8),D258,"")</f>
        <v/>
      </c>
      <c r="F258" s="5">
        <f>IF(ISNUMBER(E258),A258,"")</f>
        <v/>
      </c>
      <c r="G258" s="5">
        <f>IF(AND(ISNUMBER(E258),ISNUMBER($K$4)),E258-($K$7+$K$4*A258),"")</f>
        <v/>
      </c>
    </row>
    <row r="259">
      <c r="A259" s="4" t="n"/>
      <c r="B259" s="4" t="n"/>
      <c r="C259" s="5">
        <f>IF(AND(ISNUMBER(A259),ISNUMBER(B259),ISNUMBER($K$2),ISNUMBER($K$3),$K$3&gt;$K$2),(B259-$K$2)/($K$3-$K$2),"")</f>
        <v/>
      </c>
      <c r="D259" s="5">
        <f>IF(ISNUMBER(C259),IF(B259&lt;$K$3,LN(($K$3-$K$2)/($K$3-B259)),""),"")</f>
        <v/>
      </c>
      <c r="E259" s="5">
        <f>IF(AND(ISNUMBER(C259),ISNUMBER(D259),C259&gt;=0.2,C259&lt;=0.8),D259,"")</f>
        <v/>
      </c>
      <c r="F259" s="5">
        <f>IF(ISNUMBER(E259),A259,"")</f>
        <v/>
      </c>
      <c r="G259" s="5">
        <f>IF(AND(ISNUMBER(E259),ISNUMBER($K$4)),E259-($K$7+$K$4*A259),"")</f>
        <v/>
      </c>
    </row>
    <row r="260">
      <c r="A260" s="4" t="n"/>
      <c r="B260" s="4" t="n"/>
      <c r="C260" s="5">
        <f>IF(AND(ISNUMBER(A260),ISNUMBER(B260),ISNUMBER($K$2),ISNUMBER($K$3),$K$3&gt;$K$2),(B260-$K$2)/($K$3-$K$2),"")</f>
        <v/>
      </c>
      <c r="D260" s="5">
        <f>IF(ISNUMBER(C260),IF(B260&lt;$K$3,LN(($K$3-$K$2)/($K$3-B260)),""),"")</f>
        <v/>
      </c>
      <c r="E260" s="5">
        <f>IF(AND(ISNUMBER(C260),ISNUMBER(D260),C260&gt;=0.2,C260&lt;=0.8),D260,"")</f>
        <v/>
      </c>
      <c r="F260" s="5">
        <f>IF(ISNUMBER(E260),A260,"")</f>
        <v/>
      </c>
      <c r="G260" s="5">
        <f>IF(AND(ISNUMBER(E260),ISNUMBER($K$4)),E260-($K$7+$K$4*A260),"")</f>
        <v/>
      </c>
    </row>
    <row r="261">
      <c r="A261" s="4" t="n"/>
      <c r="B261" s="4" t="n"/>
      <c r="C261" s="5">
        <f>IF(AND(ISNUMBER(A261),ISNUMBER(B261),ISNUMBER($K$2),ISNUMBER($K$3),$K$3&gt;$K$2),(B261-$K$2)/($K$3-$K$2),"")</f>
        <v/>
      </c>
      <c r="D261" s="5">
        <f>IF(ISNUMBER(C261),IF(B261&lt;$K$3,LN(($K$3-$K$2)/($K$3-B261)),""),"")</f>
        <v/>
      </c>
      <c r="E261" s="5">
        <f>IF(AND(ISNUMBER(C261),ISNUMBER(D261),C261&gt;=0.2,C261&lt;=0.8),D261,"")</f>
        <v/>
      </c>
      <c r="F261" s="5">
        <f>IF(ISNUMBER(E261),A261,"")</f>
        <v/>
      </c>
      <c r="G261" s="5">
        <f>IF(AND(ISNUMBER(E261),ISNUMBER($K$4)),E261-($K$7+$K$4*A261),"")</f>
        <v/>
      </c>
    </row>
    <row r="262">
      <c r="A262" s="4" t="n"/>
      <c r="B262" s="4" t="n"/>
      <c r="C262" s="5">
        <f>IF(AND(ISNUMBER(A262),ISNUMBER(B262),ISNUMBER($K$2),ISNUMBER($K$3),$K$3&gt;$K$2),(B262-$K$2)/($K$3-$K$2),"")</f>
        <v/>
      </c>
      <c r="D262" s="5">
        <f>IF(ISNUMBER(C262),IF(B262&lt;$K$3,LN(($K$3-$K$2)/($K$3-B262)),""),"")</f>
        <v/>
      </c>
      <c r="E262" s="5">
        <f>IF(AND(ISNUMBER(C262),ISNUMBER(D262),C262&gt;=0.2,C262&lt;=0.8),D262,"")</f>
        <v/>
      </c>
      <c r="F262" s="5">
        <f>IF(ISNUMBER(E262),A262,"")</f>
        <v/>
      </c>
      <c r="G262" s="5">
        <f>IF(AND(ISNUMBER(E262),ISNUMBER($K$4)),E262-($K$7+$K$4*A262),"")</f>
        <v/>
      </c>
    </row>
    <row r="263">
      <c r="A263" s="4" t="n"/>
      <c r="B263" s="4" t="n"/>
      <c r="C263" s="5">
        <f>IF(AND(ISNUMBER(A263),ISNUMBER(B263),ISNUMBER($K$2),ISNUMBER($K$3),$K$3&gt;$K$2),(B263-$K$2)/($K$3-$K$2),"")</f>
        <v/>
      </c>
      <c r="D263" s="5">
        <f>IF(ISNUMBER(C263),IF(B263&lt;$K$3,LN(($K$3-$K$2)/($K$3-B263)),""),"")</f>
        <v/>
      </c>
      <c r="E263" s="5">
        <f>IF(AND(ISNUMBER(C263),ISNUMBER(D263),C263&gt;=0.2,C263&lt;=0.8),D263,"")</f>
        <v/>
      </c>
      <c r="F263" s="5">
        <f>IF(ISNUMBER(E263),A263,"")</f>
        <v/>
      </c>
      <c r="G263" s="5">
        <f>IF(AND(ISNUMBER(E263),ISNUMBER($K$4)),E263-($K$7+$K$4*A263),"")</f>
        <v/>
      </c>
    </row>
    <row r="264">
      <c r="A264" s="4" t="n"/>
      <c r="B264" s="4" t="n"/>
      <c r="C264" s="5">
        <f>IF(AND(ISNUMBER(A264),ISNUMBER(B264),ISNUMBER($K$2),ISNUMBER($K$3),$K$3&gt;$K$2),(B264-$K$2)/($K$3-$K$2),"")</f>
        <v/>
      </c>
      <c r="D264" s="5">
        <f>IF(ISNUMBER(C264),IF(B264&lt;$K$3,LN(($K$3-$K$2)/($K$3-B264)),""),"")</f>
        <v/>
      </c>
      <c r="E264" s="5">
        <f>IF(AND(ISNUMBER(C264),ISNUMBER(D264),C264&gt;=0.2,C264&lt;=0.8),D264,"")</f>
        <v/>
      </c>
      <c r="F264" s="5">
        <f>IF(ISNUMBER(E264),A264,"")</f>
        <v/>
      </c>
      <c r="G264" s="5">
        <f>IF(AND(ISNUMBER(E264),ISNUMBER($K$4)),E264-($K$7+$K$4*A264),"")</f>
        <v/>
      </c>
    </row>
    <row r="265">
      <c r="A265" s="4" t="n"/>
      <c r="B265" s="4" t="n"/>
      <c r="C265" s="5">
        <f>IF(AND(ISNUMBER(A265),ISNUMBER(B265),ISNUMBER($K$2),ISNUMBER($K$3),$K$3&gt;$K$2),(B265-$K$2)/($K$3-$K$2),"")</f>
        <v/>
      </c>
      <c r="D265" s="5">
        <f>IF(ISNUMBER(C265),IF(B265&lt;$K$3,LN(($K$3-$K$2)/($K$3-B265)),""),"")</f>
        <v/>
      </c>
      <c r="E265" s="5">
        <f>IF(AND(ISNUMBER(C265),ISNUMBER(D265),C265&gt;=0.2,C265&lt;=0.8),D265,"")</f>
        <v/>
      </c>
      <c r="F265" s="5">
        <f>IF(ISNUMBER(E265),A265,"")</f>
        <v/>
      </c>
      <c r="G265" s="5">
        <f>IF(AND(ISNUMBER(E265),ISNUMBER($K$4)),E265-($K$7+$K$4*A265),"")</f>
        <v/>
      </c>
    </row>
    <row r="266">
      <c r="A266" s="4" t="n"/>
      <c r="B266" s="4" t="n"/>
      <c r="C266" s="5">
        <f>IF(AND(ISNUMBER(A266),ISNUMBER(B266),ISNUMBER($K$2),ISNUMBER($K$3),$K$3&gt;$K$2),(B266-$K$2)/($K$3-$K$2),"")</f>
        <v/>
      </c>
      <c r="D266" s="5">
        <f>IF(ISNUMBER(C266),IF(B266&lt;$K$3,LN(($K$3-$K$2)/($K$3-B266)),""),"")</f>
        <v/>
      </c>
      <c r="E266" s="5">
        <f>IF(AND(ISNUMBER(C266),ISNUMBER(D266),C266&gt;=0.2,C266&lt;=0.8),D266,"")</f>
        <v/>
      </c>
      <c r="F266" s="5">
        <f>IF(ISNUMBER(E266),A266,"")</f>
        <v/>
      </c>
      <c r="G266" s="5">
        <f>IF(AND(ISNUMBER(E266),ISNUMBER($K$4)),E266-($K$7+$K$4*A266),"")</f>
        <v/>
      </c>
    </row>
    <row r="267">
      <c r="A267" s="4" t="n"/>
      <c r="B267" s="4" t="n"/>
      <c r="C267" s="5">
        <f>IF(AND(ISNUMBER(A267),ISNUMBER(B267),ISNUMBER($K$2),ISNUMBER($K$3),$K$3&gt;$K$2),(B267-$K$2)/($K$3-$K$2),"")</f>
        <v/>
      </c>
      <c r="D267" s="5">
        <f>IF(ISNUMBER(C267),IF(B267&lt;$K$3,LN(($K$3-$K$2)/($K$3-B267)),""),"")</f>
        <v/>
      </c>
      <c r="E267" s="5">
        <f>IF(AND(ISNUMBER(C267),ISNUMBER(D267),C267&gt;=0.2,C267&lt;=0.8),D267,"")</f>
        <v/>
      </c>
      <c r="F267" s="5">
        <f>IF(ISNUMBER(E267),A267,"")</f>
        <v/>
      </c>
      <c r="G267" s="5">
        <f>IF(AND(ISNUMBER(E267),ISNUMBER($K$4)),E267-($K$7+$K$4*A267),"")</f>
        <v/>
      </c>
    </row>
    <row r="268">
      <c r="A268" s="4" t="n"/>
      <c r="B268" s="4" t="n"/>
      <c r="C268" s="5">
        <f>IF(AND(ISNUMBER(A268),ISNUMBER(B268),ISNUMBER($K$2),ISNUMBER($K$3),$K$3&gt;$K$2),(B268-$K$2)/($K$3-$K$2),"")</f>
        <v/>
      </c>
      <c r="D268" s="5">
        <f>IF(ISNUMBER(C268),IF(B268&lt;$K$3,LN(($K$3-$K$2)/($K$3-B268)),""),"")</f>
        <v/>
      </c>
      <c r="E268" s="5">
        <f>IF(AND(ISNUMBER(C268),ISNUMBER(D268),C268&gt;=0.2,C268&lt;=0.8),D268,"")</f>
        <v/>
      </c>
      <c r="F268" s="5">
        <f>IF(ISNUMBER(E268),A268,"")</f>
        <v/>
      </c>
      <c r="G268" s="5">
        <f>IF(AND(ISNUMBER(E268),ISNUMBER($K$4)),E268-($K$7+$K$4*A268),"")</f>
        <v/>
      </c>
    </row>
    <row r="269">
      <c r="A269" s="4" t="n"/>
      <c r="B269" s="4" t="n"/>
      <c r="C269" s="5">
        <f>IF(AND(ISNUMBER(A269),ISNUMBER(B269),ISNUMBER($K$2),ISNUMBER($K$3),$K$3&gt;$K$2),(B269-$K$2)/($K$3-$K$2),"")</f>
        <v/>
      </c>
      <c r="D269" s="5">
        <f>IF(ISNUMBER(C269),IF(B269&lt;$K$3,LN(($K$3-$K$2)/($K$3-B269)),""),"")</f>
        <v/>
      </c>
      <c r="E269" s="5">
        <f>IF(AND(ISNUMBER(C269),ISNUMBER(D269),C269&gt;=0.2,C269&lt;=0.8),D269,"")</f>
        <v/>
      </c>
      <c r="F269" s="5">
        <f>IF(ISNUMBER(E269),A269,"")</f>
        <v/>
      </c>
      <c r="G269" s="5">
        <f>IF(AND(ISNUMBER(E269),ISNUMBER($K$4)),E269-($K$7+$K$4*A269),"")</f>
        <v/>
      </c>
    </row>
    <row r="270">
      <c r="A270" s="4" t="n"/>
      <c r="B270" s="4" t="n"/>
      <c r="C270" s="5">
        <f>IF(AND(ISNUMBER(A270),ISNUMBER(B270),ISNUMBER($K$2),ISNUMBER($K$3),$K$3&gt;$K$2),(B270-$K$2)/($K$3-$K$2),"")</f>
        <v/>
      </c>
      <c r="D270" s="5">
        <f>IF(ISNUMBER(C270),IF(B270&lt;$K$3,LN(($K$3-$K$2)/($K$3-B270)),""),"")</f>
        <v/>
      </c>
      <c r="E270" s="5">
        <f>IF(AND(ISNUMBER(C270),ISNUMBER(D270),C270&gt;=0.2,C270&lt;=0.8),D270,"")</f>
        <v/>
      </c>
      <c r="F270" s="5">
        <f>IF(ISNUMBER(E270),A270,"")</f>
        <v/>
      </c>
      <c r="G270" s="5">
        <f>IF(AND(ISNUMBER(E270),ISNUMBER($K$4)),E270-($K$7+$K$4*A270),"")</f>
        <v/>
      </c>
    </row>
    <row r="271">
      <c r="A271" s="4" t="n"/>
      <c r="B271" s="4" t="n"/>
      <c r="C271" s="5">
        <f>IF(AND(ISNUMBER(A271),ISNUMBER(B271),ISNUMBER($K$2),ISNUMBER($K$3),$K$3&gt;$K$2),(B271-$K$2)/($K$3-$K$2),"")</f>
        <v/>
      </c>
      <c r="D271" s="5">
        <f>IF(ISNUMBER(C271),IF(B271&lt;$K$3,LN(($K$3-$K$2)/($K$3-B271)),""),"")</f>
        <v/>
      </c>
      <c r="E271" s="5">
        <f>IF(AND(ISNUMBER(C271),ISNUMBER(D271),C271&gt;=0.2,C271&lt;=0.8),D271,"")</f>
        <v/>
      </c>
      <c r="F271" s="5">
        <f>IF(ISNUMBER(E271),A271,"")</f>
        <v/>
      </c>
      <c r="G271" s="5">
        <f>IF(AND(ISNUMBER(E271),ISNUMBER($K$4)),E271-($K$7+$K$4*A271),"")</f>
        <v/>
      </c>
    </row>
    <row r="272">
      <c r="A272" s="4" t="n"/>
      <c r="B272" s="4" t="n"/>
      <c r="C272" s="5">
        <f>IF(AND(ISNUMBER(A272),ISNUMBER(B272),ISNUMBER($K$2),ISNUMBER($K$3),$K$3&gt;$K$2),(B272-$K$2)/($K$3-$K$2),"")</f>
        <v/>
      </c>
      <c r="D272" s="5">
        <f>IF(ISNUMBER(C272),IF(B272&lt;$K$3,LN(($K$3-$K$2)/($K$3-B272)),""),"")</f>
        <v/>
      </c>
      <c r="E272" s="5">
        <f>IF(AND(ISNUMBER(C272),ISNUMBER(D272),C272&gt;=0.2,C272&lt;=0.8),D272,"")</f>
        <v/>
      </c>
      <c r="F272" s="5">
        <f>IF(ISNUMBER(E272),A272,"")</f>
        <v/>
      </c>
      <c r="G272" s="5">
        <f>IF(AND(ISNUMBER(E272),ISNUMBER($K$4)),E272-($K$7+$K$4*A272),"")</f>
        <v/>
      </c>
    </row>
    <row r="273">
      <c r="A273" s="4" t="n"/>
      <c r="B273" s="4" t="n"/>
      <c r="C273" s="5">
        <f>IF(AND(ISNUMBER(A273),ISNUMBER(B273),ISNUMBER($K$2),ISNUMBER($K$3),$K$3&gt;$K$2),(B273-$K$2)/($K$3-$K$2),"")</f>
        <v/>
      </c>
      <c r="D273" s="5">
        <f>IF(ISNUMBER(C273),IF(B273&lt;$K$3,LN(($K$3-$K$2)/($K$3-B273)),""),"")</f>
        <v/>
      </c>
      <c r="E273" s="5">
        <f>IF(AND(ISNUMBER(C273),ISNUMBER(D273),C273&gt;=0.2,C273&lt;=0.8),D273,"")</f>
        <v/>
      </c>
      <c r="F273" s="5">
        <f>IF(ISNUMBER(E273),A273,"")</f>
        <v/>
      </c>
      <c r="G273" s="5">
        <f>IF(AND(ISNUMBER(E273),ISNUMBER($K$4)),E273-($K$7+$K$4*A273),"")</f>
        <v/>
      </c>
    </row>
    <row r="274">
      <c r="A274" s="4" t="n"/>
      <c r="B274" s="4" t="n"/>
      <c r="C274" s="5">
        <f>IF(AND(ISNUMBER(A274),ISNUMBER(B274),ISNUMBER($K$2),ISNUMBER($K$3),$K$3&gt;$K$2),(B274-$K$2)/($K$3-$K$2),"")</f>
        <v/>
      </c>
      <c r="D274" s="5">
        <f>IF(ISNUMBER(C274),IF(B274&lt;$K$3,LN(($K$3-$K$2)/($K$3-B274)),""),"")</f>
        <v/>
      </c>
      <c r="E274" s="5">
        <f>IF(AND(ISNUMBER(C274),ISNUMBER(D274),C274&gt;=0.2,C274&lt;=0.8),D274,"")</f>
        <v/>
      </c>
      <c r="F274" s="5">
        <f>IF(ISNUMBER(E274),A274,"")</f>
        <v/>
      </c>
      <c r="G274" s="5">
        <f>IF(AND(ISNUMBER(E274),ISNUMBER($K$4)),E274-($K$7+$K$4*A274),"")</f>
        <v/>
      </c>
    </row>
    <row r="275">
      <c r="A275" s="4" t="n"/>
      <c r="B275" s="4" t="n"/>
      <c r="C275" s="5">
        <f>IF(AND(ISNUMBER(A275),ISNUMBER(B275),ISNUMBER($K$2),ISNUMBER($K$3),$K$3&gt;$K$2),(B275-$K$2)/($K$3-$K$2),"")</f>
        <v/>
      </c>
      <c r="D275" s="5">
        <f>IF(ISNUMBER(C275),IF(B275&lt;$K$3,LN(($K$3-$K$2)/($K$3-B275)),""),"")</f>
        <v/>
      </c>
      <c r="E275" s="5">
        <f>IF(AND(ISNUMBER(C275),ISNUMBER(D275),C275&gt;=0.2,C275&lt;=0.8),D275,"")</f>
        <v/>
      </c>
      <c r="F275" s="5">
        <f>IF(ISNUMBER(E275),A275,"")</f>
        <v/>
      </c>
      <c r="G275" s="5">
        <f>IF(AND(ISNUMBER(E275),ISNUMBER($K$4)),E275-($K$7+$K$4*A275),"")</f>
        <v/>
      </c>
    </row>
    <row r="276">
      <c r="A276" s="4" t="n"/>
      <c r="B276" s="4" t="n"/>
      <c r="C276" s="5">
        <f>IF(AND(ISNUMBER(A276),ISNUMBER(B276),ISNUMBER($K$2),ISNUMBER($K$3),$K$3&gt;$K$2),(B276-$K$2)/($K$3-$K$2),"")</f>
        <v/>
      </c>
      <c r="D276" s="5">
        <f>IF(ISNUMBER(C276),IF(B276&lt;$K$3,LN(($K$3-$K$2)/($K$3-B276)),""),"")</f>
        <v/>
      </c>
      <c r="E276" s="5">
        <f>IF(AND(ISNUMBER(C276),ISNUMBER(D276),C276&gt;=0.2,C276&lt;=0.8),D276,"")</f>
        <v/>
      </c>
      <c r="F276" s="5">
        <f>IF(ISNUMBER(E276),A276,"")</f>
        <v/>
      </c>
      <c r="G276" s="5">
        <f>IF(AND(ISNUMBER(E276),ISNUMBER($K$4)),E276-($K$7+$K$4*A276),"")</f>
        <v/>
      </c>
    </row>
    <row r="277">
      <c r="A277" s="4" t="n"/>
      <c r="B277" s="4" t="n"/>
      <c r="C277" s="5">
        <f>IF(AND(ISNUMBER(A277),ISNUMBER(B277),ISNUMBER($K$2),ISNUMBER($K$3),$K$3&gt;$K$2),(B277-$K$2)/($K$3-$K$2),"")</f>
        <v/>
      </c>
      <c r="D277" s="5">
        <f>IF(ISNUMBER(C277),IF(B277&lt;$K$3,LN(($K$3-$K$2)/($K$3-B277)),""),"")</f>
        <v/>
      </c>
      <c r="E277" s="5">
        <f>IF(AND(ISNUMBER(C277),ISNUMBER(D277),C277&gt;=0.2,C277&lt;=0.8),D277,"")</f>
        <v/>
      </c>
      <c r="F277" s="5">
        <f>IF(ISNUMBER(E277),A277,"")</f>
        <v/>
      </c>
      <c r="G277" s="5">
        <f>IF(AND(ISNUMBER(E277),ISNUMBER($K$4)),E277-($K$7+$K$4*A277),"")</f>
        <v/>
      </c>
    </row>
    <row r="278">
      <c r="A278" s="4" t="n"/>
      <c r="B278" s="4" t="n"/>
      <c r="C278" s="5">
        <f>IF(AND(ISNUMBER(A278),ISNUMBER(B278),ISNUMBER($K$2),ISNUMBER($K$3),$K$3&gt;$K$2),(B278-$K$2)/($K$3-$K$2),"")</f>
        <v/>
      </c>
      <c r="D278" s="5">
        <f>IF(ISNUMBER(C278),IF(B278&lt;$K$3,LN(($K$3-$K$2)/($K$3-B278)),""),"")</f>
        <v/>
      </c>
      <c r="E278" s="5">
        <f>IF(AND(ISNUMBER(C278),ISNUMBER(D278),C278&gt;=0.2,C278&lt;=0.8),D278,"")</f>
        <v/>
      </c>
      <c r="F278" s="5">
        <f>IF(ISNUMBER(E278),A278,"")</f>
        <v/>
      </c>
      <c r="G278" s="5">
        <f>IF(AND(ISNUMBER(E278),ISNUMBER($K$4)),E278-($K$7+$K$4*A278),"")</f>
        <v/>
      </c>
    </row>
    <row r="279">
      <c r="A279" s="4" t="n"/>
      <c r="B279" s="4" t="n"/>
      <c r="C279" s="5">
        <f>IF(AND(ISNUMBER(A279),ISNUMBER(B279),ISNUMBER($K$2),ISNUMBER($K$3),$K$3&gt;$K$2),(B279-$K$2)/($K$3-$K$2),"")</f>
        <v/>
      </c>
      <c r="D279" s="5">
        <f>IF(ISNUMBER(C279),IF(B279&lt;$K$3,LN(($K$3-$K$2)/($K$3-B279)),""),"")</f>
        <v/>
      </c>
      <c r="E279" s="5">
        <f>IF(AND(ISNUMBER(C279),ISNUMBER(D279),C279&gt;=0.2,C279&lt;=0.8),D279,"")</f>
        <v/>
      </c>
      <c r="F279" s="5">
        <f>IF(ISNUMBER(E279),A279,"")</f>
        <v/>
      </c>
      <c r="G279" s="5">
        <f>IF(AND(ISNUMBER(E279),ISNUMBER($K$4)),E279-($K$7+$K$4*A279),"")</f>
        <v/>
      </c>
    </row>
    <row r="280">
      <c r="A280" s="4" t="n"/>
      <c r="B280" s="4" t="n"/>
      <c r="C280" s="5">
        <f>IF(AND(ISNUMBER(A280),ISNUMBER(B280),ISNUMBER($K$2),ISNUMBER($K$3),$K$3&gt;$K$2),(B280-$K$2)/($K$3-$K$2),"")</f>
        <v/>
      </c>
      <c r="D280" s="5">
        <f>IF(ISNUMBER(C280),IF(B280&lt;$K$3,LN(($K$3-$K$2)/($K$3-B280)),""),"")</f>
        <v/>
      </c>
      <c r="E280" s="5">
        <f>IF(AND(ISNUMBER(C280),ISNUMBER(D280),C280&gt;=0.2,C280&lt;=0.8),D280,"")</f>
        <v/>
      </c>
      <c r="F280" s="5">
        <f>IF(ISNUMBER(E280),A280,"")</f>
        <v/>
      </c>
      <c r="G280" s="5">
        <f>IF(AND(ISNUMBER(E280),ISNUMBER($K$4)),E280-($K$7+$K$4*A280),"")</f>
        <v/>
      </c>
    </row>
    <row r="281">
      <c r="A281" s="4" t="n"/>
      <c r="B281" s="4" t="n"/>
      <c r="C281" s="5">
        <f>IF(AND(ISNUMBER(A281),ISNUMBER(B281),ISNUMBER($K$2),ISNUMBER($K$3),$K$3&gt;$K$2),(B281-$K$2)/($K$3-$K$2),"")</f>
        <v/>
      </c>
      <c r="D281" s="5">
        <f>IF(ISNUMBER(C281),IF(B281&lt;$K$3,LN(($K$3-$K$2)/($K$3-B281)),""),"")</f>
        <v/>
      </c>
      <c r="E281" s="5">
        <f>IF(AND(ISNUMBER(C281),ISNUMBER(D281),C281&gt;=0.2,C281&lt;=0.8),D281,"")</f>
        <v/>
      </c>
      <c r="F281" s="5">
        <f>IF(ISNUMBER(E281),A281,"")</f>
        <v/>
      </c>
      <c r="G281" s="5">
        <f>IF(AND(ISNUMBER(E281),ISNUMBER($K$4)),E281-($K$7+$K$4*A281),"")</f>
        <v/>
      </c>
    </row>
    <row r="282">
      <c r="A282" s="4" t="n"/>
      <c r="B282" s="4" t="n"/>
      <c r="C282" s="5">
        <f>IF(AND(ISNUMBER(A282),ISNUMBER(B282),ISNUMBER($K$2),ISNUMBER($K$3),$K$3&gt;$K$2),(B282-$K$2)/($K$3-$K$2),"")</f>
        <v/>
      </c>
      <c r="D282" s="5">
        <f>IF(ISNUMBER(C282),IF(B282&lt;$K$3,LN(($K$3-$K$2)/($K$3-B282)),""),"")</f>
        <v/>
      </c>
      <c r="E282" s="5">
        <f>IF(AND(ISNUMBER(C282),ISNUMBER(D282),C282&gt;=0.2,C282&lt;=0.8),D282,"")</f>
        <v/>
      </c>
      <c r="F282" s="5">
        <f>IF(ISNUMBER(E282),A282,"")</f>
        <v/>
      </c>
      <c r="G282" s="5">
        <f>IF(AND(ISNUMBER(E282),ISNUMBER($K$4)),E282-($K$7+$K$4*A282),"")</f>
        <v/>
      </c>
    </row>
    <row r="283">
      <c r="A283" s="4" t="n"/>
      <c r="B283" s="4" t="n"/>
      <c r="C283" s="5">
        <f>IF(AND(ISNUMBER(A283),ISNUMBER(B283),ISNUMBER($K$2),ISNUMBER($K$3),$K$3&gt;$K$2),(B283-$K$2)/($K$3-$K$2),"")</f>
        <v/>
      </c>
      <c r="D283" s="5">
        <f>IF(ISNUMBER(C283),IF(B283&lt;$K$3,LN(($K$3-$K$2)/($K$3-B283)),""),"")</f>
        <v/>
      </c>
      <c r="E283" s="5">
        <f>IF(AND(ISNUMBER(C283),ISNUMBER(D283),C283&gt;=0.2,C283&lt;=0.8),D283,"")</f>
        <v/>
      </c>
      <c r="F283" s="5">
        <f>IF(ISNUMBER(E283),A283,"")</f>
        <v/>
      </c>
      <c r="G283" s="5">
        <f>IF(AND(ISNUMBER(E283),ISNUMBER($K$4)),E283-($K$7+$K$4*A283),"")</f>
        <v/>
      </c>
    </row>
    <row r="284">
      <c r="A284" s="4" t="n"/>
      <c r="B284" s="4" t="n"/>
      <c r="C284" s="5">
        <f>IF(AND(ISNUMBER(A284),ISNUMBER(B284),ISNUMBER($K$2),ISNUMBER($K$3),$K$3&gt;$K$2),(B284-$K$2)/($K$3-$K$2),"")</f>
        <v/>
      </c>
      <c r="D284" s="5">
        <f>IF(ISNUMBER(C284),IF(B284&lt;$K$3,LN(($K$3-$K$2)/($K$3-B284)),""),"")</f>
        <v/>
      </c>
      <c r="E284" s="5">
        <f>IF(AND(ISNUMBER(C284),ISNUMBER(D284),C284&gt;=0.2,C284&lt;=0.8),D284,"")</f>
        <v/>
      </c>
      <c r="F284" s="5">
        <f>IF(ISNUMBER(E284),A284,"")</f>
        <v/>
      </c>
      <c r="G284" s="5">
        <f>IF(AND(ISNUMBER(E284),ISNUMBER($K$4)),E284-($K$7+$K$4*A284),"")</f>
        <v/>
      </c>
    </row>
    <row r="285">
      <c r="A285" s="4" t="n"/>
      <c r="B285" s="4" t="n"/>
      <c r="C285" s="5">
        <f>IF(AND(ISNUMBER(A285),ISNUMBER(B285),ISNUMBER($K$2),ISNUMBER($K$3),$K$3&gt;$K$2),(B285-$K$2)/($K$3-$K$2),"")</f>
        <v/>
      </c>
      <c r="D285" s="5">
        <f>IF(ISNUMBER(C285),IF(B285&lt;$K$3,LN(($K$3-$K$2)/($K$3-B285)),""),"")</f>
        <v/>
      </c>
      <c r="E285" s="5">
        <f>IF(AND(ISNUMBER(C285),ISNUMBER(D285),C285&gt;=0.2,C285&lt;=0.8),D285,"")</f>
        <v/>
      </c>
      <c r="F285" s="5">
        <f>IF(ISNUMBER(E285),A285,"")</f>
        <v/>
      </c>
      <c r="G285" s="5">
        <f>IF(AND(ISNUMBER(E285),ISNUMBER($K$4)),E285-($K$7+$K$4*A285),"")</f>
        <v/>
      </c>
    </row>
    <row r="286">
      <c r="A286" s="4" t="n"/>
      <c r="B286" s="4" t="n"/>
      <c r="C286" s="5">
        <f>IF(AND(ISNUMBER(A286),ISNUMBER(B286),ISNUMBER($K$2),ISNUMBER($K$3),$K$3&gt;$K$2),(B286-$K$2)/($K$3-$K$2),"")</f>
        <v/>
      </c>
      <c r="D286" s="5">
        <f>IF(ISNUMBER(C286),IF(B286&lt;$K$3,LN(($K$3-$K$2)/($K$3-B286)),""),"")</f>
        <v/>
      </c>
      <c r="E286" s="5">
        <f>IF(AND(ISNUMBER(C286),ISNUMBER(D286),C286&gt;=0.2,C286&lt;=0.8),D286,"")</f>
        <v/>
      </c>
      <c r="F286" s="5">
        <f>IF(ISNUMBER(E286),A286,"")</f>
        <v/>
      </c>
      <c r="G286" s="5">
        <f>IF(AND(ISNUMBER(E286),ISNUMBER($K$4)),E286-($K$7+$K$4*A286),"")</f>
        <v/>
      </c>
    </row>
    <row r="287">
      <c r="A287" s="4" t="n"/>
      <c r="B287" s="4" t="n"/>
      <c r="C287" s="5">
        <f>IF(AND(ISNUMBER(A287),ISNUMBER(B287),ISNUMBER($K$2),ISNUMBER($K$3),$K$3&gt;$K$2),(B287-$K$2)/($K$3-$K$2),"")</f>
        <v/>
      </c>
      <c r="D287" s="5">
        <f>IF(ISNUMBER(C287),IF(B287&lt;$K$3,LN(($K$3-$K$2)/($K$3-B287)),""),"")</f>
        <v/>
      </c>
      <c r="E287" s="5">
        <f>IF(AND(ISNUMBER(C287),ISNUMBER(D287),C287&gt;=0.2,C287&lt;=0.8),D287,"")</f>
        <v/>
      </c>
      <c r="F287" s="5">
        <f>IF(ISNUMBER(E287),A287,"")</f>
        <v/>
      </c>
      <c r="G287" s="5">
        <f>IF(AND(ISNUMBER(E287),ISNUMBER($K$4)),E287-($K$7+$K$4*A287),"")</f>
        <v/>
      </c>
    </row>
    <row r="288">
      <c r="A288" s="4" t="n"/>
      <c r="B288" s="4" t="n"/>
      <c r="C288" s="5">
        <f>IF(AND(ISNUMBER(A288),ISNUMBER(B288),ISNUMBER($K$2),ISNUMBER($K$3),$K$3&gt;$K$2),(B288-$K$2)/($K$3-$K$2),"")</f>
        <v/>
      </c>
      <c r="D288" s="5">
        <f>IF(ISNUMBER(C288),IF(B288&lt;$K$3,LN(($K$3-$K$2)/($K$3-B288)),""),"")</f>
        <v/>
      </c>
      <c r="E288" s="5">
        <f>IF(AND(ISNUMBER(C288),ISNUMBER(D288),C288&gt;=0.2,C288&lt;=0.8),D288,"")</f>
        <v/>
      </c>
      <c r="F288" s="5">
        <f>IF(ISNUMBER(E288),A288,"")</f>
        <v/>
      </c>
      <c r="G288" s="5">
        <f>IF(AND(ISNUMBER(E288),ISNUMBER($K$4)),E288-($K$7+$K$4*A288),"")</f>
        <v/>
      </c>
    </row>
    <row r="289">
      <c r="A289" s="4" t="n"/>
      <c r="B289" s="4" t="n"/>
      <c r="C289" s="5">
        <f>IF(AND(ISNUMBER(A289),ISNUMBER(B289),ISNUMBER($K$2),ISNUMBER($K$3),$K$3&gt;$K$2),(B289-$K$2)/($K$3-$K$2),"")</f>
        <v/>
      </c>
      <c r="D289" s="5">
        <f>IF(ISNUMBER(C289),IF(B289&lt;$K$3,LN(($K$3-$K$2)/($K$3-B289)),""),"")</f>
        <v/>
      </c>
      <c r="E289" s="5">
        <f>IF(AND(ISNUMBER(C289),ISNUMBER(D289),C289&gt;=0.2,C289&lt;=0.8),D289,"")</f>
        <v/>
      </c>
      <c r="F289" s="5">
        <f>IF(ISNUMBER(E289),A289,"")</f>
        <v/>
      </c>
      <c r="G289" s="5">
        <f>IF(AND(ISNUMBER(E289),ISNUMBER($K$4)),E289-($K$7+$K$4*A289),"")</f>
        <v/>
      </c>
    </row>
    <row r="290">
      <c r="A290" s="4" t="n"/>
      <c r="B290" s="4" t="n"/>
      <c r="C290" s="5">
        <f>IF(AND(ISNUMBER(A290),ISNUMBER(B290),ISNUMBER($K$2),ISNUMBER($K$3),$K$3&gt;$K$2),(B290-$K$2)/($K$3-$K$2),"")</f>
        <v/>
      </c>
      <c r="D290" s="5">
        <f>IF(ISNUMBER(C290),IF(B290&lt;$K$3,LN(($K$3-$K$2)/($K$3-B290)),""),"")</f>
        <v/>
      </c>
      <c r="E290" s="5">
        <f>IF(AND(ISNUMBER(C290),ISNUMBER(D290),C290&gt;=0.2,C290&lt;=0.8),D290,"")</f>
        <v/>
      </c>
      <c r="F290" s="5">
        <f>IF(ISNUMBER(E290),A290,"")</f>
        <v/>
      </c>
      <c r="G290" s="5">
        <f>IF(AND(ISNUMBER(E290),ISNUMBER($K$4)),E290-($K$7+$K$4*A290),"")</f>
        <v/>
      </c>
    </row>
    <row r="291">
      <c r="A291" s="4" t="n"/>
      <c r="B291" s="4" t="n"/>
      <c r="C291" s="5">
        <f>IF(AND(ISNUMBER(A291),ISNUMBER(B291),ISNUMBER($K$2),ISNUMBER($K$3),$K$3&gt;$K$2),(B291-$K$2)/($K$3-$K$2),"")</f>
        <v/>
      </c>
      <c r="D291" s="5">
        <f>IF(ISNUMBER(C291),IF(B291&lt;$K$3,LN(($K$3-$K$2)/($K$3-B291)),""),"")</f>
        <v/>
      </c>
      <c r="E291" s="5">
        <f>IF(AND(ISNUMBER(C291),ISNUMBER(D291),C291&gt;=0.2,C291&lt;=0.8),D291,"")</f>
        <v/>
      </c>
      <c r="F291" s="5">
        <f>IF(ISNUMBER(E291),A291,"")</f>
        <v/>
      </c>
      <c r="G291" s="5">
        <f>IF(AND(ISNUMBER(E291),ISNUMBER($K$4)),E291-($K$7+$K$4*A291),"")</f>
        <v/>
      </c>
    </row>
    <row r="292">
      <c r="A292" s="4" t="n"/>
      <c r="B292" s="4" t="n"/>
      <c r="C292" s="5">
        <f>IF(AND(ISNUMBER(A292),ISNUMBER(B292),ISNUMBER($K$2),ISNUMBER($K$3),$K$3&gt;$K$2),(B292-$K$2)/($K$3-$K$2),"")</f>
        <v/>
      </c>
      <c r="D292" s="5">
        <f>IF(ISNUMBER(C292),IF(B292&lt;$K$3,LN(($K$3-$K$2)/($K$3-B292)),""),"")</f>
        <v/>
      </c>
      <c r="E292" s="5">
        <f>IF(AND(ISNUMBER(C292),ISNUMBER(D292),C292&gt;=0.2,C292&lt;=0.8),D292,"")</f>
        <v/>
      </c>
      <c r="F292" s="5">
        <f>IF(ISNUMBER(E292),A292,"")</f>
        <v/>
      </c>
      <c r="G292" s="5">
        <f>IF(AND(ISNUMBER(E292),ISNUMBER($K$4)),E292-($K$7+$K$4*A292),"")</f>
        <v/>
      </c>
    </row>
    <row r="293">
      <c r="A293" s="4" t="n"/>
      <c r="B293" s="4" t="n"/>
      <c r="C293" s="5">
        <f>IF(AND(ISNUMBER(A293),ISNUMBER(B293),ISNUMBER($K$2),ISNUMBER($K$3),$K$3&gt;$K$2),(B293-$K$2)/($K$3-$K$2),"")</f>
        <v/>
      </c>
      <c r="D293" s="5">
        <f>IF(ISNUMBER(C293),IF(B293&lt;$K$3,LN(($K$3-$K$2)/($K$3-B293)),""),"")</f>
        <v/>
      </c>
      <c r="E293" s="5">
        <f>IF(AND(ISNUMBER(C293),ISNUMBER(D293),C293&gt;=0.2,C293&lt;=0.8),D293,"")</f>
        <v/>
      </c>
      <c r="F293" s="5">
        <f>IF(ISNUMBER(E293),A293,"")</f>
        <v/>
      </c>
      <c r="G293" s="5">
        <f>IF(AND(ISNUMBER(E293),ISNUMBER($K$4)),E293-($K$7+$K$4*A293),"")</f>
        <v/>
      </c>
    </row>
    <row r="294">
      <c r="A294" s="4" t="n"/>
      <c r="B294" s="4" t="n"/>
      <c r="C294" s="5">
        <f>IF(AND(ISNUMBER(A294),ISNUMBER(B294),ISNUMBER($K$2),ISNUMBER($K$3),$K$3&gt;$K$2),(B294-$K$2)/($K$3-$K$2),"")</f>
        <v/>
      </c>
      <c r="D294" s="5">
        <f>IF(ISNUMBER(C294),IF(B294&lt;$K$3,LN(($K$3-$K$2)/($K$3-B294)),""),"")</f>
        <v/>
      </c>
      <c r="E294" s="5">
        <f>IF(AND(ISNUMBER(C294),ISNUMBER(D294),C294&gt;=0.2,C294&lt;=0.8),D294,"")</f>
        <v/>
      </c>
      <c r="F294" s="5">
        <f>IF(ISNUMBER(E294),A294,"")</f>
        <v/>
      </c>
      <c r="G294" s="5">
        <f>IF(AND(ISNUMBER(E294),ISNUMBER($K$4)),E294-($K$7+$K$4*A294),"")</f>
        <v/>
      </c>
    </row>
    <row r="295">
      <c r="A295" s="4" t="n"/>
      <c r="B295" s="4" t="n"/>
      <c r="C295" s="5">
        <f>IF(AND(ISNUMBER(A295),ISNUMBER(B295),ISNUMBER($K$2),ISNUMBER($K$3),$K$3&gt;$K$2),(B295-$K$2)/($K$3-$K$2),"")</f>
        <v/>
      </c>
      <c r="D295" s="5">
        <f>IF(ISNUMBER(C295),IF(B295&lt;$K$3,LN(($K$3-$K$2)/($K$3-B295)),""),"")</f>
        <v/>
      </c>
      <c r="E295" s="5">
        <f>IF(AND(ISNUMBER(C295),ISNUMBER(D295),C295&gt;=0.2,C295&lt;=0.8),D295,"")</f>
        <v/>
      </c>
      <c r="F295" s="5">
        <f>IF(ISNUMBER(E295),A295,"")</f>
        <v/>
      </c>
      <c r="G295" s="5">
        <f>IF(AND(ISNUMBER(E295),ISNUMBER($K$4)),E295-($K$7+$K$4*A295),"")</f>
        <v/>
      </c>
    </row>
    <row r="296">
      <c r="A296" s="4" t="n"/>
      <c r="B296" s="4" t="n"/>
      <c r="C296" s="5">
        <f>IF(AND(ISNUMBER(A296),ISNUMBER(B296),ISNUMBER($K$2),ISNUMBER($K$3),$K$3&gt;$K$2),(B296-$K$2)/($K$3-$K$2),"")</f>
        <v/>
      </c>
      <c r="D296" s="5">
        <f>IF(ISNUMBER(C296),IF(B296&lt;$K$3,LN(($K$3-$K$2)/($K$3-B296)),""),"")</f>
        <v/>
      </c>
      <c r="E296" s="5">
        <f>IF(AND(ISNUMBER(C296),ISNUMBER(D296),C296&gt;=0.2,C296&lt;=0.8),D296,"")</f>
        <v/>
      </c>
      <c r="F296" s="5">
        <f>IF(ISNUMBER(E296),A296,"")</f>
        <v/>
      </c>
      <c r="G296" s="5">
        <f>IF(AND(ISNUMBER(E296),ISNUMBER($K$4)),E296-($K$7+$K$4*A296),"")</f>
        <v/>
      </c>
    </row>
    <row r="297">
      <c r="A297" s="4" t="n"/>
      <c r="B297" s="4" t="n"/>
      <c r="C297" s="5">
        <f>IF(AND(ISNUMBER(A297),ISNUMBER(B297),ISNUMBER($K$2),ISNUMBER($K$3),$K$3&gt;$K$2),(B297-$K$2)/($K$3-$K$2),"")</f>
        <v/>
      </c>
      <c r="D297" s="5">
        <f>IF(ISNUMBER(C297),IF(B297&lt;$K$3,LN(($K$3-$K$2)/($K$3-B297)),""),"")</f>
        <v/>
      </c>
      <c r="E297" s="5">
        <f>IF(AND(ISNUMBER(C297),ISNUMBER(D297),C297&gt;=0.2,C297&lt;=0.8),D297,"")</f>
        <v/>
      </c>
      <c r="F297" s="5">
        <f>IF(ISNUMBER(E297),A297,"")</f>
        <v/>
      </c>
      <c r="G297" s="5">
        <f>IF(AND(ISNUMBER(E297),ISNUMBER($K$4)),E297-($K$7+$K$4*A297),"")</f>
        <v/>
      </c>
    </row>
    <row r="298">
      <c r="A298" s="4" t="n"/>
      <c r="B298" s="4" t="n"/>
      <c r="C298" s="5">
        <f>IF(AND(ISNUMBER(A298),ISNUMBER(B298),ISNUMBER($K$2),ISNUMBER($K$3),$K$3&gt;$K$2),(B298-$K$2)/($K$3-$K$2),"")</f>
        <v/>
      </c>
      <c r="D298" s="5">
        <f>IF(ISNUMBER(C298),IF(B298&lt;$K$3,LN(($K$3-$K$2)/($K$3-B298)),""),"")</f>
        <v/>
      </c>
      <c r="E298" s="5">
        <f>IF(AND(ISNUMBER(C298),ISNUMBER(D298),C298&gt;=0.2,C298&lt;=0.8),D298,"")</f>
        <v/>
      </c>
      <c r="F298" s="5">
        <f>IF(ISNUMBER(E298),A298,"")</f>
        <v/>
      </c>
      <c r="G298" s="5">
        <f>IF(AND(ISNUMBER(E298),ISNUMBER($K$4)),E298-($K$7+$K$4*A298),"")</f>
        <v/>
      </c>
    </row>
    <row r="299">
      <c r="A299" s="4" t="n"/>
      <c r="B299" s="4" t="n"/>
      <c r="C299" s="5">
        <f>IF(AND(ISNUMBER(A299),ISNUMBER(B299),ISNUMBER($K$2),ISNUMBER($K$3),$K$3&gt;$K$2),(B299-$K$2)/($K$3-$K$2),"")</f>
        <v/>
      </c>
      <c r="D299" s="5">
        <f>IF(ISNUMBER(C299),IF(B299&lt;$K$3,LN(($K$3-$K$2)/($K$3-B299)),""),"")</f>
        <v/>
      </c>
      <c r="E299" s="5">
        <f>IF(AND(ISNUMBER(C299),ISNUMBER(D299),C299&gt;=0.2,C299&lt;=0.8),D299,"")</f>
        <v/>
      </c>
      <c r="F299" s="5">
        <f>IF(ISNUMBER(E299),A299,"")</f>
        <v/>
      </c>
      <c r="G299" s="5">
        <f>IF(AND(ISNUMBER(E299),ISNUMBER($K$4)),E299-($K$7+$K$4*A299),"")</f>
        <v/>
      </c>
    </row>
    <row r="300">
      <c r="A300" s="4" t="n"/>
      <c r="B300" s="4" t="n"/>
      <c r="C300" s="5">
        <f>IF(AND(ISNUMBER(A300),ISNUMBER(B300),ISNUMBER($K$2),ISNUMBER($K$3),$K$3&gt;$K$2),(B300-$K$2)/($K$3-$K$2),"")</f>
        <v/>
      </c>
      <c r="D300" s="5">
        <f>IF(ISNUMBER(C300),IF(B300&lt;$K$3,LN(($K$3-$K$2)/($K$3-B300)),""),"")</f>
        <v/>
      </c>
      <c r="E300" s="5">
        <f>IF(AND(ISNUMBER(C300),ISNUMBER(D300),C300&gt;=0.2,C300&lt;=0.8),D300,"")</f>
        <v/>
      </c>
      <c r="F300" s="5">
        <f>IF(ISNUMBER(E300),A300,"")</f>
        <v/>
      </c>
      <c r="G300" s="5">
        <f>IF(AND(ISNUMBER(E300),ISNUMBER($K$4)),E300-($K$7+$K$4*A300),"")</f>
        <v/>
      </c>
    </row>
    <row r="301">
      <c r="A301" s="4" t="n"/>
      <c r="B301" s="4" t="n"/>
      <c r="C301" s="5">
        <f>IF(AND(ISNUMBER(A301),ISNUMBER(B301),ISNUMBER($K$2),ISNUMBER($K$3),$K$3&gt;$K$2),(B301-$K$2)/($K$3-$K$2),"")</f>
        <v/>
      </c>
      <c r="D301" s="5">
        <f>IF(ISNUMBER(C301),IF(B301&lt;$K$3,LN(($K$3-$K$2)/($K$3-B301)),""),"")</f>
        <v/>
      </c>
      <c r="E301" s="5">
        <f>IF(AND(ISNUMBER(C301),ISNUMBER(D301),C301&gt;=0.2,C301&lt;=0.8),D301,"")</f>
        <v/>
      </c>
      <c r="F301" s="5">
        <f>IF(ISNUMBER(E301),A301,"")</f>
        <v/>
      </c>
      <c r="G301" s="5">
        <f>IF(AND(ISNUMBER(E301),ISNUMBER($K$4)),E301-($K$7+$K$4*A301),"")</f>
        <v/>
      </c>
    </row>
    <row r="302">
      <c r="A302" s="4" t="n"/>
      <c r="B302" s="4" t="n"/>
      <c r="C302" s="5">
        <f>IF(AND(ISNUMBER(A302),ISNUMBER(B302),ISNUMBER($K$2),ISNUMBER($K$3),$K$3&gt;$K$2),(B302-$K$2)/($K$3-$K$2),"")</f>
        <v/>
      </c>
      <c r="D302" s="5">
        <f>IF(ISNUMBER(C302),IF(B302&lt;$K$3,LN(($K$3-$K$2)/($K$3-B302)),""),"")</f>
        <v/>
      </c>
      <c r="E302" s="5">
        <f>IF(AND(ISNUMBER(C302),ISNUMBER(D302),C302&gt;=0.2,C302&lt;=0.8),D302,"")</f>
        <v/>
      </c>
      <c r="F302" s="5">
        <f>IF(ISNUMBER(E302),A302,"")</f>
        <v/>
      </c>
      <c r="G302" s="5">
        <f>IF(AND(ISNUMBER(E302),ISNUMBER($K$4)),E302-($K$7+$K$4*A302),"")</f>
        <v/>
      </c>
    </row>
    <row r="303">
      <c r="A303" s="4" t="n"/>
      <c r="B303" s="4" t="n"/>
      <c r="C303" s="5">
        <f>IF(AND(ISNUMBER(A303),ISNUMBER(B303),ISNUMBER($K$2),ISNUMBER($K$3),$K$3&gt;$K$2),(B303-$K$2)/($K$3-$K$2),"")</f>
        <v/>
      </c>
      <c r="D303" s="5">
        <f>IF(ISNUMBER(C303),IF(B303&lt;$K$3,LN(($K$3-$K$2)/($K$3-B303)),""),"")</f>
        <v/>
      </c>
      <c r="E303" s="5">
        <f>IF(AND(ISNUMBER(C303),ISNUMBER(D303),C303&gt;=0.2,C303&lt;=0.8),D303,"")</f>
        <v/>
      </c>
      <c r="F303" s="5">
        <f>IF(ISNUMBER(E303),A303,"")</f>
        <v/>
      </c>
      <c r="G303" s="5">
        <f>IF(AND(ISNUMBER(E303),ISNUMBER($K$4)),E303-($K$7+$K$4*A303),"")</f>
        <v/>
      </c>
    </row>
    <row r="304">
      <c r="A304" s="4" t="n"/>
      <c r="B304" s="4" t="n"/>
      <c r="C304" s="5">
        <f>IF(AND(ISNUMBER(A304),ISNUMBER(B304),ISNUMBER($K$2),ISNUMBER($K$3),$K$3&gt;$K$2),(B304-$K$2)/($K$3-$K$2),"")</f>
        <v/>
      </c>
      <c r="D304" s="5">
        <f>IF(ISNUMBER(C304),IF(B304&lt;$K$3,LN(($K$3-$K$2)/($K$3-B304)),""),"")</f>
        <v/>
      </c>
      <c r="E304" s="5">
        <f>IF(AND(ISNUMBER(C304),ISNUMBER(D304),C304&gt;=0.2,C304&lt;=0.8),D304,"")</f>
        <v/>
      </c>
      <c r="F304" s="5">
        <f>IF(ISNUMBER(E304),A304,"")</f>
        <v/>
      </c>
      <c r="G304" s="5">
        <f>IF(AND(ISNUMBER(E304),ISNUMBER($K$4)),E304-($K$7+$K$4*A304),"")</f>
        <v/>
      </c>
    </row>
    <row r="305">
      <c r="A305" s="4" t="n"/>
      <c r="B305" s="4" t="n"/>
      <c r="C305" s="5">
        <f>IF(AND(ISNUMBER(A305),ISNUMBER(B305),ISNUMBER($K$2),ISNUMBER($K$3),$K$3&gt;$K$2),(B305-$K$2)/($K$3-$K$2),"")</f>
        <v/>
      </c>
      <c r="D305" s="5">
        <f>IF(ISNUMBER(C305),IF(B305&lt;$K$3,LN(($K$3-$K$2)/($K$3-B305)),""),"")</f>
        <v/>
      </c>
      <c r="E305" s="5">
        <f>IF(AND(ISNUMBER(C305),ISNUMBER(D305),C305&gt;=0.2,C305&lt;=0.8),D305,"")</f>
        <v/>
      </c>
      <c r="F305" s="5">
        <f>IF(ISNUMBER(E305),A305,"")</f>
        <v/>
      </c>
      <c r="G305" s="5">
        <f>IF(AND(ISNUMBER(E305),ISNUMBER($K$4)),E305-($K$7+$K$4*A305),"")</f>
        <v/>
      </c>
    </row>
    <row r="306">
      <c r="A306" s="4" t="n"/>
      <c r="B306" s="4" t="n"/>
      <c r="C306" s="5">
        <f>IF(AND(ISNUMBER(A306),ISNUMBER(B306),ISNUMBER($K$2),ISNUMBER($K$3),$K$3&gt;$K$2),(B306-$K$2)/($K$3-$K$2),"")</f>
        <v/>
      </c>
      <c r="D306" s="5">
        <f>IF(ISNUMBER(C306),IF(B306&lt;$K$3,LN(($K$3-$K$2)/($K$3-B306)),""),"")</f>
        <v/>
      </c>
      <c r="E306" s="5">
        <f>IF(AND(ISNUMBER(C306),ISNUMBER(D306),C306&gt;=0.2,C306&lt;=0.8),D306,"")</f>
        <v/>
      </c>
      <c r="F306" s="5">
        <f>IF(ISNUMBER(E306),A306,"")</f>
        <v/>
      </c>
      <c r="G306" s="5">
        <f>IF(AND(ISNUMBER(E306),ISNUMBER($K$4)),E306-($K$7+$K$4*A306),"")</f>
        <v/>
      </c>
    </row>
    <row r="307">
      <c r="A307" s="4" t="n"/>
      <c r="B307" s="4" t="n"/>
      <c r="C307" s="5">
        <f>IF(AND(ISNUMBER(A307),ISNUMBER(B307),ISNUMBER($K$2),ISNUMBER($K$3),$K$3&gt;$K$2),(B307-$K$2)/($K$3-$K$2),"")</f>
        <v/>
      </c>
      <c r="D307" s="5">
        <f>IF(ISNUMBER(C307),IF(B307&lt;$K$3,LN(($K$3-$K$2)/($K$3-B307)),""),"")</f>
        <v/>
      </c>
      <c r="E307" s="5">
        <f>IF(AND(ISNUMBER(C307),ISNUMBER(D307),C307&gt;=0.2,C307&lt;=0.8),D307,"")</f>
        <v/>
      </c>
      <c r="F307" s="5">
        <f>IF(ISNUMBER(E307),A307,"")</f>
        <v/>
      </c>
      <c r="G307" s="5">
        <f>IF(AND(ISNUMBER(E307),ISNUMBER($K$4)),E307-($K$7+$K$4*A307),"")</f>
        <v/>
      </c>
    </row>
    <row r="308">
      <c r="A308" s="4" t="n"/>
      <c r="B308" s="4" t="n"/>
      <c r="C308" s="5">
        <f>IF(AND(ISNUMBER(A308),ISNUMBER(B308),ISNUMBER($K$2),ISNUMBER($K$3),$K$3&gt;$K$2),(B308-$K$2)/($K$3-$K$2),"")</f>
        <v/>
      </c>
      <c r="D308" s="5">
        <f>IF(ISNUMBER(C308),IF(B308&lt;$K$3,LN(($K$3-$K$2)/($K$3-B308)),""),"")</f>
        <v/>
      </c>
      <c r="E308" s="5">
        <f>IF(AND(ISNUMBER(C308),ISNUMBER(D308),C308&gt;=0.2,C308&lt;=0.8),D308,"")</f>
        <v/>
      </c>
      <c r="F308" s="5">
        <f>IF(ISNUMBER(E308),A308,"")</f>
        <v/>
      </c>
      <c r="G308" s="5">
        <f>IF(AND(ISNUMBER(E308),ISNUMBER($K$4)),E308-($K$7+$K$4*A308),"")</f>
        <v/>
      </c>
    </row>
  </sheetData>
  <autoFilter ref="A8:G308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4" customWidth="1" min="10" max="10"/>
    <col width="18" customWidth="1" min="11" max="11"/>
  </cols>
  <sheetData>
    <row r="1">
      <c r="A1" t="inlineStr">
        <is>
          <t>Reoxigenación a 1000 rpm</t>
        </is>
      </c>
      <c r="J1" t="inlineStr">
        <is>
          <t>RPM</t>
        </is>
      </c>
      <c r="K1" t="n">
        <v>1000</v>
      </c>
    </row>
    <row r="2">
      <c r="A2" t="inlineStr">
        <is>
          <t>Volumen: 30 L de agua</t>
        </is>
      </c>
      <c r="J2" t="inlineStr">
        <is>
          <t>y₀ (entrada)</t>
        </is>
      </c>
      <c r="K2" s="4" t="n"/>
    </row>
    <row r="3">
      <c r="A3" t="inlineStr">
        <is>
          <t>Aire: 15 L/min = 0.5 vvm</t>
        </is>
      </c>
      <c r="J3" t="inlineStr">
        <is>
          <t>y∞ (entrada)</t>
        </is>
      </c>
      <c r="K3" s="4" t="n"/>
    </row>
    <row r="4">
      <c r="A4" t="inlineStr">
        <is>
          <t>Archivo / equipo:</t>
        </is>
      </c>
      <c r="B4" s="4" t="n"/>
      <c r="J4" t="inlineStr">
        <is>
          <t>Pendiente [s⁻¹]</t>
        </is>
      </c>
      <c r="K4">
        <f>IF(AND(K8&gt;=3,ISNUMBER(K2),ISNUMBER(K3),K3&gt;K2),IFERROR(SLOPE(E9:E308,F9:F308),""),"")</f>
        <v/>
      </c>
    </row>
    <row r="5">
      <c r="A5" t="inlineStr">
        <is>
          <t>Temperatura [°C]:</t>
        </is>
      </c>
      <c r="B5" s="4" t="n"/>
      <c r="J5" t="inlineStr">
        <is>
          <t>kLa [h⁻¹]</t>
        </is>
      </c>
      <c r="K5">
        <f>IF(ISNUMBER(K4),K4*3600,"")</f>
        <v/>
      </c>
    </row>
    <row r="6">
      <c r="A6" t="inlineStr">
        <is>
          <t>Intervalos de mesetas:</t>
        </is>
      </c>
      <c r="B6" s="4" t="n"/>
      <c r="J6" t="inlineStr">
        <is>
          <t>R²</t>
        </is>
      </c>
      <c r="K6">
        <f>IF(ISNUMBER(K4),IFERROR(RSQ(E9:E308,F9:F308),""),"")</f>
        <v/>
      </c>
    </row>
    <row r="7">
      <c r="J7" t="inlineStr">
        <is>
          <t>Intercepto</t>
        </is>
      </c>
      <c r="K7">
        <f>IF(ISNUMBER(K4),IFERROR(INTERCEPT(E9:E308,F9:F308),""),"")</f>
        <v/>
      </c>
    </row>
    <row r="8">
      <c r="A8" s="1" t="inlineStr">
        <is>
          <t>Tiempo [s]</t>
        </is>
      </c>
      <c r="B8" s="1" t="inlineStr">
        <is>
          <t>Oxígeno [%]</t>
        </is>
      </c>
      <c r="C8" s="1" t="inlineStr">
        <is>
          <t>Recorrido r</t>
        </is>
      </c>
      <c r="D8" s="1" t="inlineStr">
        <is>
          <t>Y</t>
        </is>
      </c>
      <c r="E8" s="1" t="inlineStr">
        <is>
          <t>Y seleccionado</t>
        </is>
      </c>
      <c r="F8" s="1" t="inlineStr">
        <is>
          <t>t seleccionado</t>
        </is>
      </c>
      <c r="G8" s="1" t="inlineStr">
        <is>
          <t>Residuo</t>
        </is>
      </c>
      <c r="J8" s="1" t="inlineStr">
        <is>
          <t>Puntos de ajuste</t>
        </is>
      </c>
      <c r="K8" s="1">
        <f>COUNT(E9:E308)</f>
        <v/>
      </c>
    </row>
    <row r="9">
      <c r="A9" s="4" t="n"/>
      <c r="B9" s="4" t="n"/>
      <c r="C9" s="5">
        <f>IF(AND(ISNUMBER(A9),ISNUMBER(B9),ISNUMBER($K$2),ISNUMBER($K$3),$K$3&gt;$K$2),(B9-$K$2)/($K$3-$K$2),"")</f>
        <v/>
      </c>
      <c r="D9" s="5">
        <f>IF(ISNUMBER(C9),IF(B9&lt;$K$3,LN(($K$3-$K$2)/($K$3-B9)),""),"")</f>
        <v/>
      </c>
      <c r="E9" s="5">
        <f>IF(AND(ISNUMBER(C9),ISNUMBER(D9),C9&gt;=0.2,C9&lt;=0.8),D9,"")</f>
        <v/>
      </c>
      <c r="F9" s="5">
        <f>IF(ISNUMBER(E9),A9,"")</f>
        <v/>
      </c>
      <c r="G9" s="5">
        <f>IF(AND(ISNUMBER(E9),ISNUMBER($K$4)),E9-($K$7+$K$4*A9),"")</f>
        <v/>
      </c>
    </row>
    <row r="10">
      <c r="A10" s="4" t="n"/>
      <c r="B10" s="4" t="n"/>
      <c r="C10" s="5">
        <f>IF(AND(ISNUMBER(A10),ISNUMBER(B10),ISNUMBER($K$2),ISNUMBER($K$3),$K$3&gt;$K$2),(B10-$K$2)/($K$3-$K$2),"")</f>
        <v/>
      </c>
      <c r="D10" s="5">
        <f>IF(ISNUMBER(C10),IF(B10&lt;$K$3,LN(($K$3-$K$2)/($K$3-B10)),""),"")</f>
        <v/>
      </c>
      <c r="E10" s="5">
        <f>IF(AND(ISNUMBER(C10),ISNUMBER(D10),C10&gt;=0.2,C10&lt;=0.8),D10,"")</f>
        <v/>
      </c>
      <c r="F10" s="5">
        <f>IF(ISNUMBER(E10),A10,"")</f>
        <v/>
      </c>
      <c r="G10" s="5">
        <f>IF(AND(ISNUMBER(E10),ISNUMBER($K$4)),E10-($K$7+$K$4*A10),"")</f>
        <v/>
      </c>
    </row>
    <row r="11">
      <c r="A11" s="4" t="n"/>
      <c r="B11" s="4" t="n"/>
      <c r="C11" s="5">
        <f>IF(AND(ISNUMBER(A11),ISNUMBER(B11),ISNUMBER($K$2),ISNUMBER($K$3),$K$3&gt;$K$2),(B11-$K$2)/($K$3-$K$2),"")</f>
        <v/>
      </c>
      <c r="D11" s="5">
        <f>IF(ISNUMBER(C11),IF(B11&lt;$K$3,LN(($K$3-$K$2)/($K$3-B11)),""),"")</f>
        <v/>
      </c>
      <c r="E11" s="5">
        <f>IF(AND(ISNUMBER(C11),ISNUMBER(D11),C11&gt;=0.2,C11&lt;=0.8),D11,"")</f>
        <v/>
      </c>
      <c r="F11" s="5">
        <f>IF(ISNUMBER(E11),A11,"")</f>
        <v/>
      </c>
      <c r="G11" s="5">
        <f>IF(AND(ISNUMBER(E11),ISNUMBER($K$4)),E11-($K$7+$K$4*A11),"")</f>
        <v/>
      </c>
    </row>
    <row r="12">
      <c r="A12" s="4" t="n"/>
      <c r="B12" s="4" t="n"/>
      <c r="C12" s="5">
        <f>IF(AND(ISNUMBER(A12),ISNUMBER(B12),ISNUMBER($K$2),ISNUMBER($K$3),$K$3&gt;$K$2),(B12-$K$2)/($K$3-$K$2),"")</f>
        <v/>
      </c>
      <c r="D12" s="5">
        <f>IF(ISNUMBER(C12),IF(B12&lt;$K$3,LN(($K$3-$K$2)/($K$3-B12)),""),"")</f>
        <v/>
      </c>
      <c r="E12" s="5">
        <f>IF(AND(ISNUMBER(C12),ISNUMBER(D12),C12&gt;=0.2,C12&lt;=0.8),D12,"")</f>
        <v/>
      </c>
      <c r="F12" s="5">
        <f>IF(ISNUMBER(E12),A12,"")</f>
        <v/>
      </c>
      <c r="G12" s="5">
        <f>IF(AND(ISNUMBER(E12),ISNUMBER($K$4)),E12-($K$7+$K$4*A12),"")</f>
        <v/>
      </c>
    </row>
    <row r="13">
      <c r="A13" s="4" t="n"/>
      <c r="B13" s="4" t="n"/>
      <c r="C13" s="5">
        <f>IF(AND(ISNUMBER(A13),ISNUMBER(B13),ISNUMBER($K$2),ISNUMBER($K$3),$K$3&gt;$K$2),(B13-$K$2)/($K$3-$K$2),"")</f>
        <v/>
      </c>
      <c r="D13" s="5">
        <f>IF(ISNUMBER(C13),IF(B13&lt;$K$3,LN(($K$3-$K$2)/($K$3-B13)),""),"")</f>
        <v/>
      </c>
      <c r="E13" s="5">
        <f>IF(AND(ISNUMBER(C13),ISNUMBER(D13),C13&gt;=0.2,C13&lt;=0.8),D13,"")</f>
        <v/>
      </c>
      <c r="F13" s="5">
        <f>IF(ISNUMBER(E13),A13,"")</f>
        <v/>
      </c>
      <c r="G13" s="5">
        <f>IF(AND(ISNUMBER(E13),ISNUMBER($K$4)),E13-($K$7+$K$4*A13),"")</f>
        <v/>
      </c>
    </row>
    <row r="14">
      <c r="A14" s="4" t="n"/>
      <c r="B14" s="4" t="n"/>
      <c r="C14" s="5">
        <f>IF(AND(ISNUMBER(A14),ISNUMBER(B14),ISNUMBER($K$2),ISNUMBER($K$3),$K$3&gt;$K$2),(B14-$K$2)/($K$3-$K$2),"")</f>
        <v/>
      </c>
      <c r="D14" s="5">
        <f>IF(ISNUMBER(C14),IF(B14&lt;$K$3,LN(($K$3-$K$2)/($K$3-B14)),""),"")</f>
        <v/>
      </c>
      <c r="E14" s="5">
        <f>IF(AND(ISNUMBER(C14),ISNUMBER(D14),C14&gt;=0.2,C14&lt;=0.8),D14,"")</f>
        <v/>
      </c>
      <c r="F14" s="5">
        <f>IF(ISNUMBER(E14),A14,"")</f>
        <v/>
      </c>
      <c r="G14" s="5">
        <f>IF(AND(ISNUMBER(E14),ISNUMBER($K$4)),E14-($K$7+$K$4*A14),"")</f>
        <v/>
      </c>
    </row>
    <row r="15">
      <c r="A15" s="4" t="n"/>
      <c r="B15" s="4" t="n"/>
      <c r="C15" s="5">
        <f>IF(AND(ISNUMBER(A15),ISNUMBER(B15),ISNUMBER($K$2),ISNUMBER($K$3),$K$3&gt;$K$2),(B15-$K$2)/($K$3-$K$2),"")</f>
        <v/>
      </c>
      <c r="D15" s="5">
        <f>IF(ISNUMBER(C15),IF(B15&lt;$K$3,LN(($K$3-$K$2)/($K$3-B15)),""),"")</f>
        <v/>
      </c>
      <c r="E15" s="5">
        <f>IF(AND(ISNUMBER(C15),ISNUMBER(D15),C15&gt;=0.2,C15&lt;=0.8),D15,"")</f>
        <v/>
      </c>
      <c r="F15" s="5">
        <f>IF(ISNUMBER(E15),A15,"")</f>
        <v/>
      </c>
      <c r="G15" s="5">
        <f>IF(AND(ISNUMBER(E15),ISNUMBER($K$4)),E15-($K$7+$K$4*A15),"")</f>
        <v/>
      </c>
    </row>
    <row r="16">
      <c r="A16" s="4" t="n"/>
      <c r="B16" s="4" t="n"/>
      <c r="C16" s="5">
        <f>IF(AND(ISNUMBER(A16),ISNUMBER(B16),ISNUMBER($K$2),ISNUMBER($K$3),$K$3&gt;$K$2),(B16-$K$2)/($K$3-$K$2),"")</f>
        <v/>
      </c>
      <c r="D16" s="5">
        <f>IF(ISNUMBER(C16),IF(B16&lt;$K$3,LN(($K$3-$K$2)/($K$3-B16)),""),"")</f>
        <v/>
      </c>
      <c r="E16" s="5">
        <f>IF(AND(ISNUMBER(C16),ISNUMBER(D16),C16&gt;=0.2,C16&lt;=0.8),D16,"")</f>
        <v/>
      </c>
      <c r="F16" s="5">
        <f>IF(ISNUMBER(E16),A16,"")</f>
        <v/>
      </c>
      <c r="G16" s="5">
        <f>IF(AND(ISNUMBER(E16),ISNUMBER($K$4)),E16-($K$7+$K$4*A16),"")</f>
        <v/>
      </c>
    </row>
    <row r="17">
      <c r="A17" s="4" t="n"/>
      <c r="B17" s="4" t="n"/>
      <c r="C17" s="5">
        <f>IF(AND(ISNUMBER(A17),ISNUMBER(B17),ISNUMBER($K$2),ISNUMBER($K$3),$K$3&gt;$K$2),(B17-$K$2)/($K$3-$K$2),"")</f>
        <v/>
      </c>
      <c r="D17" s="5">
        <f>IF(ISNUMBER(C17),IF(B17&lt;$K$3,LN(($K$3-$K$2)/($K$3-B17)),""),"")</f>
        <v/>
      </c>
      <c r="E17" s="5">
        <f>IF(AND(ISNUMBER(C17),ISNUMBER(D17),C17&gt;=0.2,C17&lt;=0.8),D17,"")</f>
        <v/>
      </c>
      <c r="F17" s="5">
        <f>IF(ISNUMBER(E17),A17,"")</f>
        <v/>
      </c>
      <c r="G17" s="5">
        <f>IF(AND(ISNUMBER(E17),ISNUMBER($K$4)),E17-($K$7+$K$4*A17),"")</f>
        <v/>
      </c>
    </row>
    <row r="18">
      <c r="A18" s="4" t="n"/>
      <c r="B18" s="4" t="n"/>
      <c r="C18" s="5">
        <f>IF(AND(ISNUMBER(A18),ISNUMBER(B18),ISNUMBER($K$2),ISNUMBER($K$3),$K$3&gt;$K$2),(B18-$K$2)/($K$3-$K$2),"")</f>
        <v/>
      </c>
      <c r="D18" s="5">
        <f>IF(ISNUMBER(C18),IF(B18&lt;$K$3,LN(($K$3-$K$2)/($K$3-B18)),""),"")</f>
        <v/>
      </c>
      <c r="E18" s="5">
        <f>IF(AND(ISNUMBER(C18),ISNUMBER(D18),C18&gt;=0.2,C18&lt;=0.8),D18,"")</f>
        <v/>
      </c>
      <c r="F18" s="5">
        <f>IF(ISNUMBER(E18),A18,"")</f>
        <v/>
      </c>
      <c r="G18" s="5">
        <f>IF(AND(ISNUMBER(E18),ISNUMBER($K$4)),E18-($K$7+$K$4*A18),"")</f>
        <v/>
      </c>
    </row>
    <row r="19">
      <c r="A19" s="4" t="n"/>
      <c r="B19" s="4" t="n"/>
      <c r="C19" s="5">
        <f>IF(AND(ISNUMBER(A19),ISNUMBER(B19),ISNUMBER($K$2),ISNUMBER($K$3),$K$3&gt;$K$2),(B19-$K$2)/($K$3-$K$2),"")</f>
        <v/>
      </c>
      <c r="D19" s="5">
        <f>IF(ISNUMBER(C19),IF(B19&lt;$K$3,LN(($K$3-$K$2)/($K$3-B19)),""),"")</f>
        <v/>
      </c>
      <c r="E19" s="5">
        <f>IF(AND(ISNUMBER(C19),ISNUMBER(D19),C19&gt;=0.2,C19&lt;=0.8),D19,"")</f>
        <v/>
      </c>
      <c r="F19" s="5">
        <f>IF(ISNUMBER(E19),A19,"")</f>
        <v/>
      </c>
      <c r="G19" s="5">
        <f>IF(AND(ISNUMBER(E19),ISNUMBER($K$4)),E19-($K$7+$K$4*A19),"")</f>
        <v/>
      </c>
    </row>
    <row r="20">
      <c r="A20" s="4" t="n"/>
      <c r="B20" s="4" t="n"/>
      <c r="C20" s="5">
        <f>IF(AND(ISNUMBER(A20),ISNUMBER(B20),ISNUMBER($K$2),ISNUMBER($K$3),$K$3&gt;$K$2),(B20-$K$2)/($K$3-$K$2),"")</f>
        <v/>
      </c>
      <c r="D20" s="5">
        <f>IF(ISNUMBER(C20),IF(B20&lt;$K$3,LN(($K$3-$K$2)/($K$3-B20)),""),"")</f>
        <v/>
      </c>
      <c r="E20" s="5">
        <f>IF(AND(ISNUMBER(C20),ISNUMBER(D20),C20&gt;=0.2,C20&lt;=0.8),D20,"")</f>
        <v/>
      </c>
      <c r="F20" s="5">
        <f>IF(ISNUMBER(E20),A20,"")</f>
        <v/>
      </c>
      <c r="G20" s="5">
        <f>IF(AND(ISNUMBER(E20),ISNUMBER($K$4)),E20-($K$7+$K$4*A20),"")</f>
        <v/>
      </c>
    </row>
    <row r="21">
      <c r="A21" s="4" t="n"/>
      <c r="B21" s="4" t="n"/>
      <c r="C21" s="5">
        <f>IF(AND(ISNUMBER(A21),ISNUMBER(B21),ISNUMBER($K$2),ISNUMBER($K$3),$K$3&gt;$K$2),(B21-$K$2)/($K$3-$K$2),"")</f>
        <v/>
      </c>
      <c r="D21" s="5">
        <f>IF(ISNUMBER(C21),IF(B21&lt;$K$3,LN(($K$3-$K$2)/($K$3-B21)),""),"")</f>
        <v/>
      </c>
      <c r="E21" s="5">
        <f>IF(AND(ISNUMBER(C21),ISNUMBER(D21),C21&gt;=0.2,C21&lt;=0.8),D21,"")</f>
        <v/>
      </c>
      <c r="F21" s="5">
        <f>IF(ISNUMBER(E21),A21,"")</f>
        <v/>
      </c>
      <c r="G21" s="5">
        <f>IF(AND(ISNUMBER(E21),ISNUMBER($K$4)),E21-($K$7+$K$4*A21),"")</f>
        <v/>
      </c>
    </row>
    <row r="22">
      <c r="A22" s="4" t="n"/>
      <c r="B22" s="4" t="n"/>
      <c r="C22" s="5">
        <f>IF(AND(ISNUMBER(A22),ISNUMBER(B22),ISNUMBER($K$2),ISNUMBER($K$3),$K$3&gt;$K$2),(B22-$K$2)/($K$3-$K$2),"")</f>
        <v/>
      </c>
      <c r="D22" s="5">
        <f>IF(ISNUMBER(C22),IF(B22&lt;$K$3,LN(($K$3-$K$2)/($K$3-B22)),""),"")</f>
        <v/>
      </c>
      <c r="E22" s="5">
        <f>IF(AND(ISNUMBER(C22),ISNUMBER(D22),C22&gt;=0.2,C22&lt;=0.8),D22,"")</f>
        <v/>
      </c>
      <c r="F22" s="5">
        <f>IF(ISNUMBER(E22),A22,"")</f>
        <v/>
      </c>
      <c r="G22" s="5">
        <f>IF(AND(ISNUMBER(E22),ISNUMBER($K$4)),E22-($K$7+$K$4*A22),"")</f>
        <v/>
      </c>
    </row>
    <row r="23">
      <c r="A23" s="4" t="n"/>
      <c r="B23" s="4" t="n"/>
      <c r="C23" s="5">
        <f>IF(AND(ISNUMBER(A23),ISNUMBER(B23),ISNUMBER($K$2),ISNUMBER($K$3),$K$3&gt;$K$2),(B23-$K$2)/($K$3-$K$2),"")</f>
        <v/>
      </c>
      <c r="D23" s="5">
        <f>IF(ISNUMBER(C23),IF(B23&lt;$K$3,LN(($K$3-$K$2)/($K$3-B23)),""),"")</f>
        <v/>
      </c>
      <c r="E23" s="5">
        <f>IF(AND(ISNUMBER(C23),ISNUMBER(D23),C23&gt;=0.2,C23&lt;=0.8),D23,"")</f>
        <v/>
      </c>
      <c r="F23" s="5">
        <f>IF(ISNUMBER(E23),A23,"")</f>
        <v/>
      </c>
      <c r="G23" s="5">
        <f>IF(AND(ISNUMBER(E23),ISNUMBER($K$4)),E23-($K$7+$K$4*A23),"")</f>
        <v/>
      </c>
    </row>
    <row r="24">
      <c r="A24" s="4" t="n"/>
      <c r="B24" s="4" t="n"/>
      <c r="C24" s="5">
        <f>IF(AND(ISNUMBER(A24),ISNUMBER(B24),ISNUMBER($K$2),ISNUMBER($K$3),$K$3&gt;$K$2),(B24-$K$2)/($K$3-$K$2),"")</f>
        <v/>
      </c>
      <c r="D24" s="5">
        <f>IF(ISNUMBER(C24),IF(B24&lt;$K$3,LN(($K$3-$K$2)/($K$3-B24)),""),"")</f>
        <v/>
      </c>
      <c r="E24" s="5">
        <f>IF(AND(ISNUMBER(C24),ISNUMBER(D24),C24&gt;=0.2,C24&lt;=0.8),D24,"")</f>
        <v/>
      </c>
      <c r="F24" s="5">
        <f>IF(ISNUMBER(E24),A24,"")</f>
        <v/>
      </c>
      <c r="G24" s="5">
        <f>IF(AND(ISNUMBER(E24),ISNUMBER($K$4)),E24-($K$7+$K$4*A24),"")</f>
        <v/>
      </c>
    </row>
    <row r="25">
      <c r="A25" s="4" t="n"/>
      <c r="B25" s="4" t="n"/>
      <c r="C25" s="5">
        <f>IF(AND(ISNUMBER(A25),ISNUMBER(B25),ISNUMBER($K$2),ISNUMBER($K$3),$K$3&gt;$K$2),(B25-$K$2)/($K$3-$K$2),"")</f>
        <v/>
      </c>
      <c r="D25" s="5">
        <f>IF(ISNUMBER(C25),IF(B25&lt;$K$3,LN(($K$3-$K$2)/($K$3-B25)),""),"")</f>
        <v/>
      </c>
      <c r="E25" s="5">
        <f>IF(AND(ISNUMBER(C25),ISNUMBER(D25),C25&gt;=0.2,C25&lt;=0.8),D25,"")</f>
        <v/>
      </c>
      <c r="F25" s="5">
        <f>IF(ISNUMBER(E25),A25,"")</f>
        <v/>
      </c>
      <c r="G25" s="5">
        <f>IF(AND(ISNUMBER(E25),ISNUMBER($K$4)),E25-($K$7+$K$4*A25),"")</f>
        <v/>
      </c>
    </row>
    <row r="26">
      <c r="A26" s="4" t="n"/>
      <c r="B26" s="4" t="n"/>
      <c r="C26" s="5">
        <f>IF(AND(ISNUMBER(A26),ISNUMBER(B26),ISNUMBER($K$2),ISNUMBER($K$3),$K$3&gt;$K$2),(B26-$K$2)/($K$3-$K$2),"")</f>
        <v/>
      </c>
      <c r="D26" s="5">
        <f>IF(ISNUMBER(C26),IF(B26&lt;$K$3,LN(($K$3-$K$2)/($K$3-B26)),""),"")</f>
        <v/>
      </c>
      <c r="E26" s="5">
        <f>IF(AND(ISNUMBER(C26),ISNUMBER(D26),C26&gt;=0.2,C26&lt;=0.8),D26,"")</f>
        <v/>
      </c>
      <c r="F26" s="5">
        <f>IF(ISNUMBER(E26),A26,"")</f>
        <v/>
      </c>
      <c r="G26" s="5">
        <f>IF(AND(ISNUMBER(E26),ISNUMBER($K$4)),E26-($K$7+$K$4*A26),"")</f>
        <v/>
      </c>
    </row>
    <row r="27">
      <c r="A27" s="4" t="n"/>
      <c r="B27" s="4" t="n"/>
      <c r="C27" s="5">
        <f>IF(AND(ISNUMBER(A27),ISNUMBER(B27),ISNUMBER($K$2),ISNUMBER($K$3),$K$3&gt;$K$2),(B27-$K$2)/($K$3-$K$2),"")</f>
        <v/>
      </c>
      <c r="D27" s="5">
        <f>IF(ISNUMBER(C27),IF(B27&lt;$K$3,LN(($K$3-$K$2)/($K$3-B27)),""),"")</f>
        <v/>
      </c>
      <c r="E27" s="5">
        <f>IF(AND(ISNUMBER(C27),ISNUMBER(D27),C27&gt;=0.2,C27&lt;=0.8),D27,"")</f>
        <v/>
      </c>
      <c r="F27" s="5">
        <f>IF(ISNUMBER(E27),A27,"")</f>
        <v/>
      </c>
      <c r="G27" s="5">
        <f>IF(AND(ISNUMBER(E27),ISNUMBER($K$4)),E27-($K$7+$K$4*A27),"")</f>
        <v/>
      </c>
    </row>
    <row r="28">
      <c r="A28" s="4" t="n"/>
      <c r="B28" s="4" t="n"/>
      <c r="C28" s="5">
        <f>IF(AND(ISNUMBER(A28),ISNUMBER(B28),ISNUMBER($K$2),ISNUMBER($K$3),$K$3&gt;$K$2),(B28-$K$2)/($K$3-$K$2),"")</f>
        <v/>
      </c>
      <c r="D28" s="5">
        <f>IF(ISNUMBER(C28),IF(B28&lt;$K$3,LN(($K$3-$K$2)/($K$3-B28)),""),"")</f>
        <v/>
      </c>
      <c r="E28" s="5">
        <f>IF(AND(ISNUMBER(C28),ISNUMBER(D28),C28&gt;=0.2,C28&lt;=0.8),D28,"")</f>
        <v/>
      </c>
      <c r="F28" s="5">
        <f>IF(ISNUMBER(E28),A28,"")</f>
        <v/>
      </c>
      <c r="G28" s="5">
        <f>IF(AND(ISNUMBER(E28),ISNUMBER($K$4)),E28-($K$7+$K$4*A28),"")</f>
        <v/>
      </c>
    </row>
    <row r="29">
      <c r="A29" s="4" t="n"/>
      <c r="B29" s="4" t="n"/>
      <c r="C29" s="5">
        <f>IF(AND(ISNUMBER(A29),ISNUMBER(B29),ISNUMBER($K$2),ISNUMBER($K$3),$K$3&gt;$K$2),(B29-$K$2)/($K$3-$K$2),"")</f>
        <v/>
      </c>
      <c r="D29" s="5">
        <f>IF(ISNUMBER(C29),IF(B29&lt;$K$3,LN(($K$3-$K$2)/($K$3-B29)),""),"")</f>
        <v/>
      </c>
      <c r="E29" s="5">
        <f>IF(AND(ISNUMBER(C29),ISNUMBER(D29),C29&gt;=0.2,C29&lt;=0.8),D29,"")</f>
        <v/>
      </c>
      <c r="F29" s="5">
        <f>IF(ISNUMBER(E29),A29,"")</f>
        <v/>
      </c>
      <c r="G29" s="5">
        <f>IF(AND(ISNUMBER(E29),ISNUMBER($K$4)),E29-($K$7+$K$4*A29),"")</f>
        <v/>
      </c>
    </row>
    <row r="30">
      <c r="A30" s="4" t="n"/>
      <c r="B30" s="4" t="n"/>
      <c r="C30" s="5">
        <f>IF(AND(ISNUMBER(A30),ISNUMBER(B30),ISNUMBER($K$2),ISNUMBER($K$3),$K$3&gt;$K$2),(B30-$K$2)/($K$3-$K$2),"")</f>
        <v/>
      </c>
      <c r="D30" s="5">
        <f>IF(ISNUMBER(C30),IF(B30&lt;$K$3,LN(($K$3-$K$2)/($K$3-B30)),""),"")</f>
        <v/>
      </c>
      <c r="E30" s="5">
        <f>IF(AND(ISNUMBER(C30),ISNUMBER(D30),C30&gt;=0.2,C30&lt;=0.8),D30,"")</f>
        <v/>
      </c>
      <c r="F30" s="5">
        <f>IF(ISNUMBER(E30),A30,"")</f>
        <v/>
      </c>
      <c r="G30" s="5">
        <f>IF(AND(ISNUMBER(E30),ISNUMBER($K$4)),E30-($K$7+$K$4*A30),"")</f>
        <v/>
      </c>
    </row>
    <row r="31">
      <c r="A31" s="4" t="n"/>
      <c r="B31" s="4" t="n"/>
      <c r="C31" s="5">
        <f>IF(AND(ISNUMBER(A31),ISNUMBER(B31),ISNUMBER($K$2),ISNUMBER($K$3),$K$3&gt;$K$2),(B31-$K$2)/($K$3-$K$2),"")</f>
        <v/>
      </c>
      <c r="D31" s="5">
        <f>IF(ISNUMBER(C31),IF(B31&lt;$K$3,LN(($K$3-$K$2)/($K$3-B31)),""),"")</f>
        <v/>
      </c>
      <c r="E31" s="5">
        <f>IF(AND(ISNUMBER(C31),ISNUMBER(D31),C31&gt;=0.2,C31&lt;=0.8),D31,"")</f>
        <v/>
      </c>
      <c r="F31" s="5">
        <f>IF(ISNUMBER(E31),A31,"")</f>
        <v/>
      </c>
      <c r="G31" s="5">
        <f>IF(AND(ISNUMBER(E31),ISNUMBER($K$4)),E31-($K$7+$K$4*A31),"")</f>
        <v/>
      </c>
    </row>
    <row r="32">
      <c r="A32" s="4" t="n"/>
      <c r="B32" s="4" t="n"/>
      <c r="C32" s="5">
        <f>IF(AND(ISNUMBER(A32),ISNUMBER(B32),ISNUMBER($K$2),ISNUMBER($K$3),$K$3&gt;$K$2),(B32-$K$2)/($K$3-$K$2),"")</f>
        <v/>
      </c>
      <c r="D32" s="5">
        <f>IF(ISNUMBER(C32),IF(B32&lt;$K$3,LN(($K$3-$K$2)/($K$3-B32)),""),"")</f>
        <v/>
      </c>
      <c r="E32" s="5">
        <f>IF(AND(ISNUMBER(C32),ISNUMBER(D32),C32&gt;=0.2,C32&lt;=0.8),D32,"")</f>
        <v/>
      </c>
      <c r="F32" s="5">
        <f>IF(ISNUMBER(E32),A32,"")</f>
        <v/>
      </c>
      <c r="G32" s="5">
        <f>IF(AND(ISNUMBER(E32),ISNUMBER($K$4)),E32-($K$7+$K$4*A32),"")</f>
        <v/>
      </c>
    </row>
    <row r="33">
      <c r="A33" s="4" t="n"/>
      <c r="B33" s="4" t="n"/>
      <c r="C33" s="5">
        <f>IF(AND(ISNUMBER(A33),ISNUMBER(B33),ISNUMBER($K$2),ISNUMBER($K$3),$K$3&gt;$K$2),(B33-$K$2)/($K$3-$K$2),"")</f>
        <v/>
      </c>
      <c r="D33" s="5">
        <f>IF(ISNUMBER(C33),IF(B33&lt;$K$3,LN(($K$3-$K$2)/($K$3-B33)),""),"")</f>
        <v/>
      </c>
      <c r="E33" s="5">
        <f>IF(AND(ISNUMBER(C33),ISNUMBER(D33),C33&gt;=0.2,C33&lt;=0.8),D33,"")</f>
        <v/>
      </c>
      <c r="F33" s="5">
        <f>IF(ISNUMBER(E33),A33,"")</f>
        <v/>
      </c>
      <c r="G33" s="5">
        <f>IF(AND(ISNUMBER(E33),ISNUMBER($K$4)),E33-($K$7+$K$4*A33),"")</f>
        <v/>
      </c>
    </row>
    <row r="34">
      <c r="A34" s="4" t="n"/>
      <c r="B34" s="4" t="n"/>
      <c r="C34" s="5">
        <f>IF(AND(ISNUMBER(A34),ISNUMBER(B34),ISNUMBER($K$2),ISNUMBER($K$3),$K$3&gt;$K$2),(B34-$K$2)/($K$3-$K$2),"")</f>
        <v/>
      </c>
      <c r="D34" s="5">
        <f>IF(ISNUMBER(C34),IF(B34&lt;$K$3,LN(($K$3-$K$2)/($K$3-B34)),""),"")</f>
        <v/>
      </c>
      <c r="E34" s="5">
        <f>IF(AND(ISNUMBER(C34),ISNUMBER(D34),C34&gt;=0.2,C34&lt;=0.8),D34,"")</f>
        <v/>
      </c>
      <c r="F34" s="5">
        <f>IF(ISNUMBER(E34),A34,"")</f>
        <v/>
      </c>
      <c r="G34" s="5">
        <f>IF(AND(ISNUMBER(E34),ISNUMBER($K$4)),E34-($K$7+$K$4*A34),"")</f>
        <v/>
      </c>
    </row>
    <row r="35">
      <c r="A35" s="4" t="n"/>
      <c r="B35" s="4" t="n"/>
      <c r="C35" s="5">
        <f>IF(AND(ISNUMBER(A35),ISNUMBER(B35),ISNUMBER($K$2),ISNUMBER($K$3),$K$3&gt;$K$2),(B35-$K$2)/($K$3-$K$2),"")</f>
        <v/>
      </c>
      <c r="D35" s="5">
        <f>IF(ISNUMBER(C35),IF(B35&lt;$K$3,LN(($K$3-$K$2)/($K$3-B35)),""),"")</f>
        <v/>
      </c>
      <c r="E35" s="5">
        <f>IF(AND(ISNUMBER(C35),ISNUMBER(D35),C35&gt;=0.2,C35&lt;=0.8),D35,"")</f>
        <v/>
      </c>
      <c r="F35" s="5">
        <f>IF(ISNUMBER(E35),A35,"")</f>
        <v/>
      </c>
      <c r="G35" s="5">
        <f>IF(AND(ISNUMBER(E35),ISNUMBER($K$4)),E35-($K$7+$K$4*A35),"")</f>
        <v/>
      </c>
    </row>
    <row r="36">
      <c r="A36" s="4" t="n"/>
      <c r="B36" s="4" t="n"/>
      <c r="C36" s="5">
        <f>IF(AND(ISNUMBER(A36),ISNUMBER(B36),ISNUMBER($K$2),ISNUMBER($K$3),$K$3&gt;$K$2),(B36-$K$2)/($K$3-$K$2),"")</f>
        <v/>
      </c>
      <c r="D36" s="5">
        <f>IF(ISNUMBER(C36),IF(B36&lt;$K$3,LN(($K$3-$K$2)/($K$3-B36)),""),"")</f>
        <v/>
      </c>
      <c r="E36" s="5">
        <f>IF(AND(ISNUMBER(C36),ISNUMBER(D36),C36&gt;=0.2,C36&lt;=0.8),D36,"")</f>
        <v/>
      </c>
      <c r="F36" s="5">
        <f>IF(ISNUMBER(E36),A36,"")</f>
        <v/>
      </c>
      <c r="G36" s="5">
        <f>IF(AND(ISNUMBER(E36),ISNUMBER($K$4)),E36-($K$7+$K$4*A36),"")</f>
        <v/>
      </c>
    </row>
    <row r="37">
      <c r="A37" s="4" t="n"/>
      <c r="B37" s="4" t="n"/>
      <c r="C37" s="5">
        <f>IF(AND(ISNUMBER(A37),ISNUMBER(B37),ISNUMBER($K$2),ISNUMBER($K$3),$K$3&gt;$K$2),(B37-$K$2)/($K$3-$K$2),"")</f>
        <v/>
      </c>
      <c r="D37" s="5">
        <f>IF(ISNUMBER(C37),IF(B37&lt;$K$3,LN(($K$3-$K$2)/($K$3-B37)),""),"")</f>
        <v/>
      </c>
      <c r="E37" s="5">
        <f>IF(AND(ISNUMBER(C37),ISNUMBER(D37),C37&gt;=0.2,C37&lt;=0.8),D37,"")</f>
        <v/>
      </c>
      <c r="F37" s="5">
        <f>IF(ISNUMBER(E37),A37,"")</f>
        <v/>
      </c>
      <c r="G37" s="5">
        <f>IF(AND(ISNUMBER(E37),ISNUMBER($K$4)),E37-($K$7+$K$4*A37),"")</f>
        <v/>
      </c>
    </row>
    <row r="38">
      <c r="A38" s="4" t="n"/>
      <c r="B38" s="4" t="n"/>
      <c r="C38" s="5">
        <f>IF(AND(ISNUMBER(A38),ISNUMBER(B38),ISNUMBER($K$2),ISNUMBER($K$3),$K$3&gt;$K$2),(B38-$K$2)/($K$3-$K$2),"")</f>
        <v/>
      </c>
      <c r="D38" s="5">
        <f>IF(ISNUMBER(C38),IF(B38&lt;$K$3,LN(($K$3-$K$2)/($K$3-B38)),""),"")</f>
        <v/>
      </c>
      <c r="E38" s="5">
        <f>IF(AND(ISNUMBER(C38),ISNUMBER(D38),C38&gt;=0.2,C38&lt;=0.8),D38,"")</f>
        <v/>
      </c>
      <c r="F38" s="5">
        <f>IF(ISNUMBER(E38),A38,"")</f>
        <v/>
      </c>
      <c r="G38" s="5">
        <f>IF(AND(ISNUMBER(E38),ISNUMBER($K$4)),E38-($K$7+$K$4*A38),"")</f>
        <v/>
      </c>
    </row>
    <row r="39">
      <c r="A39" s="4" t="n"/>
      <c r="B39" s="4" t="n"/>
      <c r="C39" s="5">
        <f>IF(AND(ISNUMBER(A39),ISNUMBER(B39),ISNUMBER($K$2),ISNUMBER($K$3),$K$3&gt;$K$2),(B39-$K$2)/($K$3-$K$2),"")</f>
        <v/>
      </c>
      <c r="D39" s="5">
        <f>IF(ISNUMBER(C39),IF(B39&lt;$K$3,LN(($K$3-$K$2)/($K$3-B39)),""),"")</f>
        <v/>
      </c>
      <c r="E39" s="5">
        <f>IF(AND(ISNUMBER(C39),ISNUMBER(D39),C39&gt;=0.2,C39&lt;=0.8),D39,"")</f>
        <v/>
      </c>
      <c r="F39" s="5">
        <f>IF(ISNUMBER(E39),A39,"")</f>
        <v/>
      </c>
      <c r="G39" s="5">
        <f>IF(AND(ISNUMBER(E39),ISNUMBER($K$4)),E39-($K$7+$K$4*A39),"")</f>
        <v/>
      </c>
    </row>
    <row r="40">
      <c r="A40" s="4" t="n"/>
      <c r="B40" s="4" t="n"/>
      <c r="C40" s="5">
        <f>IF(AND(ISNUMBER(A40),ISNUMBER(B40),ISNUMBER($K$2),ISNUMBER($K$3),$K$3&gt;$K$2),(B40-$K$2)/($K$3-$K$2),"")</f>
        <v/>
      </c>
      <c r="D40" s="5">
        <f>IF(ISNUMBER(C40),IF(B40&lt;$K$3,LN(($K$3-$K$2)/($K$3-B40)),""),"")</f>
        <v/>
      </c>
      <c r="E40" s="5">
        <f>IF(AND(ISNUMBER(C40),ISNUMBER(D40),C40&gt;=0.2,C40&lt;=0.8),D40,"")</f>
        <v/>
      </c>
      <c r="F40" s="5">
        <f>IF(ISNUMBER(E40),A40,"")</f>
        <v/>
      </c>
      <c r="G40" s="5">
        <f>IF(AND(ISNUMBER(E40),ISNUMBER($K$4)),E40-($K$7+$K$4*A40),"")</f>
        <v/>
      </c>
    </row>
    <row r="41">
      <c r="A41" s="4" t="n"/>
      <c r="B41" s="4" t="n"/>
      <c r="C41" s="5">
        <f>IF(AND(ISNUMBER(A41),ISNUMBER(B41),ISNUMBER($K$2),ISNUMBER($K$3),$K$3&gt;$K$2),(B41-$K$2)/($K$3-$K$2),"")</f>
        <v/>
      </c>
      <c r="D41" s="5">
        <f>IF(ISNUMBER(C41),IF(B41&lt;$K$3,LN(($K$3-$K$2)/($K$3-B41)),""),"")</f>
        <v/>
      </c>
      <c r="E41" s="5">
        <f>IF(AND(ISNUMBER(C41),ISNUMBER(D41),C41&gt;=0.2,C41&lt;=0.8),D41,"")</f>
        <v/>
      </c>
      <c r="F41" s="5">
        <f>IF(ISNUMBER(E41),A41,"")</f>
        <v/>
      </c>
      <c r="G41" s="5">
        <f>IF(AND(ISNUMBER(E41),ISNUMBER($K$4)),E41-($K$7+$K$4*A41),"")</f>
        <v/>
      </c>
    </row>
    <row r="42">
      <c r="A42" s="4" t="n"/>
      <c r="B42" s="4" t="n"/>
      <c r="C42" s="5">
        <f>IF(AND(ISNUMBER(A42),ISNUMBER(B42),ISNUMBER($K$2),ISNUMBER($K$3),$K$3&gt;$K$2),(B42-$K$2)/($K$3-$K$2),"")</f>
        <v/>
      </c>
      <c r="D42" s="5">
        <f>IF(ISNUMBER(C42),IF(B42&lt;$K$3,LN(($K$3-$K$2)/($K$3-B42)),""),"")</f>
        <v/>
      </c>
      <c r="E42" s="5">
        <f>IF(AND(ISNUMBER(C42),ISNUMBER(D42),C42&gt;=0.2,C42&lt;=0.8),D42,"")</f>
        <v/>
      </c>
      <c r="F42" s="5">
        <f>IF(ISNUMBER(E42),A42,"")</f>
        <v/>
      </c>
      <c r="G42" s="5">
        <f>IF(AND(ISNUMBER(E42),ISNUMBER($K$4)),E42-($K$7+$K$4*A42),"")</f>
        <v/>
      </c>
    </row>
    <row r="43">
      <c r="A43" s="4" t="n"/>
      <c r="B43" s="4" t="n"/>
      <c r="C43" s="5">
        <f>IF(AND(ISNUMBER(A43),ISNUMBER(B43),ISNUMBER($K$2),ISNUMBER($K$3),$K$3&gt;$K$2),(B43-$K$2)/($K$3-$K$2),"")</f>
        <v/>
      </c>
      <c r="D43" s="5">
        <f>IF(ISNUMBER(C43),IF(B43&lt;$K$3,LN(($K$3-$K$2)/($K$3-B43)),""),"")</f>
        <v/>
      </c>
      <c r="E43" s="5">
        <f>IF(AND(ISNUMBER(C43),ISNUMBER(D43),C43&gt;=0.2,C43&lt;=0.8),D43,"")</f>
        <v/>
      </c>
      <c r="F43" s="5">
        <f>IF(ISNUMBER(E43),A43,"")</f>
        <v/>
      </c>
      <c r="G43" s="5">
        <f>IF(AND(ISNUMBER(E43),ISNUMBER($K$4)),E43-($K$7+$K$4*A43),"")</f>
        <v/>
      </c>
    </row>
    <row r="44">
      <c r="A44" s="4" t="n"/>
      <c r="B44" s="4" t="n"/>
      <c r="C44" s="5">
        <f>IF(AND(ISNUMBER(A44),ISNUMBER(B44),ISNUMBER($K$2),ISNUMBER($K$3),$K$3&gt;$K$2),(B44-$K$2)/($K$3-$K$2),"")</f>
        <v/>
      </c>
      <c r="D44" s="5">
        <f>IF(ISNUMBER(C44),IF(B44&lt;$K$3,LN(($K$3-$K$2)/($K$3-B44)),""),"")</f>
        <v/>
      </c>
      <c r="E44" s="5">
        <f>IF(AND(ISNUMBER(C44),ISNUMBER(D44),C44&gt;=0.2,C44&lt;=0.8),D44,"")</f>
        <v/>
      </c>
      <c r="F44" s="5">
        <f>IF(ISNUMBER(E44),A44,"")</f>
        <v/>
      </c>
      <c r="G44" s="5">
        <f>IF(AND(ISNUMBER(E44),ISNUMBER($K$4)),E44-($K$7+$K$4*A44),"")</f>
        <v/>
      </c>
    </row>
    <row r="45">
      <c r="A45" s="4" t="n"/>
      <c r="B45" s="4" t="n"/>
      <c r="C45" s="5">
        <f>IF(AND(ISNUMBER(A45),ISNUMBER(B45),ISNUMBER($K$2),ISNUMBER($K$3),$K$3&gt;$K$2),(B45-$K$2)/($K$3-$K$2),"")</f>
        <v/>
      </c>
      <c r="D45" s="5">
        <f>IF(ISNUMBER(C45),IF(B45&lt;$K$3,LN(($K$3-$K$2)/($K$3-B45)),""),"")</f>
        <v/>
      </c>
      <c r="E45" s="5">
        <f>IF(AND(ISNUMBER(C45),ISNUMBER(D45),C45&gt;=0.2,C45&lt;=0.8),D45,"")</f>
        <v/>
      </c>
      <c r="F45" s="5">
        <f>IF(ISNUMBER(E45),A45,"")</f>
        <v/>
      </c>
      <c r="G45" s="5">
        <f>IF(AND(ISNUMBER(E45),ISNUMBER($K$4)),E45-($K$7+$K$4*A45),"")</f>
        <v/>
      </c>
    </row>
    <row r="46">
      <c r="A46" s="4" t="n"/>
      <c r="B46" s="4" t="n"/>
      <c r="C46" s="5">
        <f>IF(AND(ISNUMBER(A46),ISNUMBER(B46),ISNUMBER($K$2),ISNUMBER($K$3),$K$3&gt;$K$2),(B46-$K$2)/($K$3-$K$2),"")</f>
        <v/>
      </c>
      <c r="D46" s="5">
        <f>IF(ISNUMBER(C46),IF(B46&lt;$K$3,LN(($K$3-$K$2)/($K$3-B46)),""),"")</f>
        <v/>
      </c>
      <c r="E46" s="5">
        <f>IF(AND(ISNUMBER(C46),ISNUMBER(D46),C46&gt;=0.2,C46&lt;=0.8),D46,"")</f>
        <v/>
      </c>
      <c r="F46" s="5">
        <f>IF(ISNUMBER(E46),A46,"")</f>
        <v/>
      </c>
      <c r="G46" s="5">
        <f>IF(AND(ISNUMBER(E46),ISNUMBER($K$4)),E46-($K$7+$K$4*A46),"")</f>
        <v/>
      </c>
    </row>
    <row r="47">
      <c r="A47" s="4" t="n"/>
      <c r="B47" s="4" t="n"/>
      <c r="C47" s="5">
        <f>IF(AND(ISNUMBER(A47),ISNUMBER(B47),ISNUMBER($K$2),ISNUMBER($K$3),$K$3&gt;$K$2),(B47-$K$2)/($K$3-$K$2),"")</f>
        <v/>
      </c>
      <c r="D47" s="5">
        <f>IF(ISNUMBER(C47),IF(B47&lt;$K$3,LN(($K$3-$K$2)/($K$3-B47)),""),"")</f>
        <v/>
      </c>
      <c r="E47" s="5">
        <f>IF(AND(ISNUMBER(C47),ISNUMBER(D47),C47&gt;=0.2,C47&lt;=0.8),D47,"")</f>
        <v/>
      </c>
      <c r="F47" s="5">
        <f>IF(ISNUMBER(E47),A47,"")</f>
        <v/>
      </c>
      <c r="G47" s="5">
        <f>IF(AND(ISNUMBER(E47),ISNUMBER($K$4)),E47-($K$7+$K$4*A47),"")</f>
        <v/>
      </c>
    </row>
    <row r="48">
      <c r="A48" s="4" t="n"/>
      <c r="B48" s="4" t="n"/>
      <c r="C48" s="5">
        <f>IF(AND(ISNUMBER(A48),ISNUMBER(B48),ISNUMBER($K$2),ISNUMBER($K$3),$K$3&gt;$K$2),(B48-$K$2)/($K$3-$K$2),"")</f>
        <v/>
      </c>
      <c r="D48" s="5">
        <f>IF(ISNUMBER(C48),IF(B48&lt;$K$3,LN(($K$3-$K$2)/($K$3-B48)),""),"")</f>
        <v/>
      </c>
      <c r="E48" s="5">
        <f>IF(AND(ISNUMBER(C48),ISNUMBER(D48),C48&gt;=0.2,C48&lt;=0.8),D48,"")</f>
        <v/>
      </c>
      <c r="F48" s="5">
        <f>IF(ISNUMBER(E48),A48,"")</f>
        <v/>
      </c>
      <c r="G48" s="5">
        <f>IF(AND(ISNUMBER(E48),ISNUMBER($K$4)),E48-($K$7+$K$4*A48),"")</f>
        <v/>
      </c>
    </row>
    <row r="49">
      <c r="A49" s="4" t="n"/>
      <c r="B49" s="4" t="n"/>
      <c r="C49" s="5">
        <f>IF(AND(ISNUMBER(A49),ISNUMBER(B49),ISNUMBER($K$2),ISNUMBER($K$3),$K$3&gt;$K$2),(B49-$K$2)/($K$3-$K$2),"")</f>
        <v/>
      </c>
      <c r="D49" s="5">
        <f>IF(ISNUMBER(C49),IF(B49&lt;$K$3,LN(($K$3-$K$2)/($K$3-B49)),""),"")</f>
        <v/>
      </c>
      <c r="E49" s="5">
        <f>IF(AND(ISNUMBER(C49),ISNUMBER(D49),C49&gt;=0.2,C49&lt;=0.8),D49,"")</f>
        <v/>
      </c>
      <c r="F49" s="5">
        <f>IF(ISNUMBER(E49),A49,"")</f>
        <v/>
      </c>
      <c r="G49" s="5">
        <f>IF(AND(ISNUMBER(E49),ISNUMBER($K$4)),E49-($K$7+$K$4*A49),"")</f>
        <v/>
      </c>
    </row>
    <row r="50">
      <c r="A50" s="4" t="n"/>
      <c r="B50" s="4" t="n"/>
      <c r="C50" s="5">
        <f>IF(AND(ISNUMBER(A50),ISNUMBER(B50),ISNUMBER($K$2),ISNUMBER($K$3),$K$3&gt;$K$2),(B50-$K$2)/($K$3-$K$2),"")</f>
        <v/>
      </c>
      <c r="D50" s="5">
        <f>IF(ISNUMBER(C50),IF(B50&lt;$K$3,LN(($K$3-$K$2)/($K$3-B50)),""),"")</f>
        <v/>
      </c>
      <c r="E50" s="5">
        <f>IF(AND(ISNUMBER(C50),ISNUMBER(D50),C50&gt;=0.2,C50&lt;=0.8),D50,"")</f>
        <v/>
      </c>
      <c r="F50" s="5">
        <f>IF(ISNUMBER(E50),A50,"")</f>
        <v/>
      </c>
      <c r="G50" s="5">
        <f>IF(AND(ISNUMBER(E50),ISNUMBER($K$4)),E50-($K$7+$K$4*A50),"")</f>
        <v/>
      </c>
    </row>
    <row r="51">
      <c r="A51" s="4" t="n"/>
      <c r="B51" s="4" t="n"/>
      <c r="C51" s="5">
        <f>IF(AND(ISNUMBER(A51),ISNUMBER(B51),ISNUMBER($K$2),ISNUMBER($K$3),$K$3&gt;$K$2),(B51-$K$2)/($K$3-$K$2),"")</f>
        <v/>
      </c>
      <c r="D51" s="5">
        <f>IF(ISNUMBER(C51),IF(B51&lt;$K$3,LN(($K$3-$K$2)/($K$3-B51)),""),"")</f>
        <v/>
      </c>
      <c r="E51" s="5">
        <f>IF(AND(ISNUMBER(C51),ISNUMBER(D51),C51&gt;=0.2,C51&lt;=0.8),D51,"")</f>
        <v/>
      </c>
      <c r="F51" s="5">
        <f>IF(ISNUMBER(E51),A51,"")</f>
        <v/>
      </c>
      <c r="G51" s="5">
        <f>IF(AND(ISNUMBER(E51),ISNUMBER($K$4)),E51-($K$7+$K$4*A51),"")</f>
        <v/>
      </c>
    </row>
    <row r="52">
      <c r="A52" s="4" t="n"/>
      <c r="B52" s="4" t="n"/>
      <c r="C52" s="5">
        <f>IF(AND(ISNUMBER(A52),ISNUMBER(B52),ISNUMBER($K$2),ISNUMBER($K$3),$K$3&gt;$K$2),(B52-$K$2)/($K$3-$K$2),"")</f>
        <v/>
      </c>
      <c r="D52" s="5">
        <f>IF(ISNUMBER(C52),IF(B52&lt;$K$3,LN(($K$3-$K$2)/($K$3-B52)),""),"")</f>
        <v/>
      </c>
      <c r="E52" s="5">
        <f>IF(AND(ISNUMBER(C52),ISNUMBER(D52),C52&gt;=0.2,C52&lt;=0.8),D52,"")</f>
        <v/>
      </c>
      <c r="F52" s="5">
        <f>IF(ISNUMBER(E52),A52,"")</f>
        <v/>
      </c>
      <c r="G52" s="5">
        <f>IF(AND(ISNUMBER(E52),ISNUMBER($K$4)),E52-($K$7+$K$4*A52),"")</f>
        <v/>
      </c>
    </row>
    <row r="53">
      <c r="A53" s="4" t="n"/>
      <c r="B53" s="4" t="n"/>
      <c r="C53" s="5">
        <f>IF(AND(ISNUMBER(A53),ISNUMBER(B53),ISNUMBER($K$2),ISNUMBER($K$3),$K$3&gt;$K$2),(B53-$K$2)/($K$3-$K$2),"")</f>
        <v/>
      </c>
      <c r="D53" s="5">
        <f>IF(ISNUMBER(C53),IF(B53&lt;$K$3,LN(($K$3-$K$2)/($K$3-B53)),""),"")</f>
        <v/>
      </c>
      <c r="E53" s="5">
        <f>IF(AND(ISNUMBER(C53),ISNUMBER(D53),C53&gt;=0.2,C53&lt;=0.8),D53,"")</f>
        <v/>
      </c>
      <c r="F53" s="5">
        <f>IF(ISNUMBER(E53),A53,"")</f>
        <v/>
      </c>
      <c r="G53" s="5">
        <f>IF(AND(ISNUMBER(E53),ISNUMBER($K$4)),E53-($K$7+$K$4*A53),"")</f>
        <v/>
      </c>
    </row>
    <row r="54">
      <c r="A54" s="4" t="n"/>
      <c r="B54" s="4" t="n"/>
      <c r="C54" s="5">
        <f>IF(AND(ISNUMBER(A54),ISNUMBER(B54),ISNUMBER($K$2),ISNUMBER($K$3),$K$3&gt;$K$2),(B54-$K$2)/($K$3-$K$2),"")</f>
        <v/>
      </c>
      <c r="D54" s="5">
        <f>IF(ISNUMBER(C54),IF(B54&lt;$K$3,LN(($K$3-$K$2)/($K$3-B54)),""),"")</f>
        <v/>
      </c>
      <c r="E54" s="5">
        <f>IF(AND(ISNUMBER(C54),ISNUMBER(D54),C54&gt;=0.2,C54&lt;=0.8),D54,"")</f>
        <v/>
      </c>
      <c r="F54" s="5">
        <f>IF(ISNUMBER(E54),A54,"")</f>
        <v/>
      </c>
      <c r="G54" s="5">
        <f>IF(AND(ISNUMBER(E54),ISNUMBER($K$4)),E54-($K$7+$K$4*A54),"")</f>
        <v/>
      </c>
    </row>
    <row r="55">
      <c r="A55" s="4" t="n"/>
      <c r="B55" s="4" t="n"/>
      <c r="C55" s="5">
        <f>IF(AND(ISNUMBER(A55),ISNUMBER(B55),ISNUMBER($K$2),ISNUMBER($K$3),$K$3&gt;$K$2),(B55-$K$2)/($K$3-$K$2),"")</f>
        <v/>
      </c>
      <c r="D55" s="5">
        <f>IF(ISNUMBER(C55),IF(B55&lt;$K$3,LN(($K$3-$K$2)/($K$3-B55)),""),"")</f>
        <v/>
      </c>
      <c r="E55" s="5">
        <f>IF(AND(ISNUMBER(C55),ISNUMBER(D55),C55&gt;=0.2,C55&lt;=0.8),D55,"")</f>
        <v/>
      </c>
      <c r="F55" s="5">
        <f>IF(ISNUMBER(E55),A55,"")</f>
        <v/>
      </c>
      <c r="G55" s="5">
        <f>IF(AND(ISNUMBER(E55),ISNUMBER($K$4)),E55-($K$7+$K$4*A55),"")</f>
        <v/>
      </c>
    </row>
    <row r="56">
      <c r="A56" s="4" t="n"/>
      <c r="B56" s="4" t="n"/>
      <c r="C56" s="5">
        <f>IF(AND(ISNUMBER(A56),ISNUMBER(B56),ISNUMBER($K$2),ISNUMBER($K$3),$K$3&gt;$K$2),(B56-$K$2)/($K$3-$K$2),"")</f>
        <v/>
      </c>
      <c r="D56" s="5">
        <f>IF(ISNUMBER(C56),IF(B56&lt;$K$3,LN(($K$3-$K$2)/($K$3-B56)),""),"")</f>
        <v/>
      </c>
      <c r="E56" s="5">
        <f>IF(AND(ISNUMBER(C56),ISNUMBER(D56),C56&gt;=0.2,C56&lt;=0.8),D56,"")</f>
        <v/>
      </c>
      <c r="F56" s="5">
        <f>IF(ISNUMBER(E56),A56,"")</f>
        <v/>
      </c>
      <c r="G56" s="5">
        <f>IF(AND(ISNUMBER(E56),ISNUMBER($K$4)),E56-($K$7+$K$4*A56),"")</f>
        <v/>
      </c>
    </row>
    <row r="57">
      <c r="A57" s="4" t="n"/>
      <c r="B57" s="4" t="n"/>
      <c r="C57" s="5">
        <f>IF(AND(ISNUMBER(A57),ISNUMBER(B57),ISNUMBER($K$2),ISNUMBER($K$3),$K$3&gt;$K$2),(B57-$K$2)/($K$3-$K$2),"")</f>
        <v/>
      </c>
      <c r="D57" s="5">
        <f>IF(ISNUMBER(C57),IF(B57&lt;$K$3,LN(($K$3-$K$2)/($K$3-B57)),""),"")</f>
        <v/>
      </c>
      <c r="E57" s="5">
        <f>IF(AND(ISNUMBER(C57),ISNUMBER(D57),C57&gt;=0.2,C57&lt;=0.8),D57,"")</f>
        <v/>
      </c>
      <c r="F57" s="5">
        <f>IF(ISNUMBER(E57),A57,"")</f>
        <v/>
      </c>
      <c r="G57" s="5">
        <f>IF(AND(ISNUMBER(E57),ISNUMBER($K$4)),E57-($K$7+$K$4*A57),"")</f>
        <v/>
      </c>
    </row>
    <row r="58">
      <c r="A58" s="4" t="n"/>
      <c r="B58" s="4" t="n"/>
      <c r="C58" s="5">
        <f>IF(AND(ISNUMBER(A58),ISNUMBER(B58),ISNUMBER($K$2),ISNUMBER($K$3),$K$3&gt;$K$2),(B58-$K$2)/($K$3-$K$2),"")</f>
        <v/>
      </c>
      <c r="D58" s="5">
        <f>IF(ISNUMBER(C58),IF(B58&lt;$K$3,LN(($K$3-$K$2)/($K$3-B58)),""),"")</f>
        <v/>
      </c>
      <c r="E58" s="5">
        <f>IF(AND(ISNUMBER(C58),ISNUMBER(D58),C58&gt;=0.2,C58&lt;=0.8),D58,"")</f>
        <v/>
      </c>
      <c r="F58" s="5">
        <f>IF(ISNUMBER(E58),A58,"")</f>
        <v/>
      </c>
      <c r="G58" s="5">
        <f>IF(AND(ISNUMBER(E58),ISNUMBER($K$4)),E58-($K$7+$K$4*A58),"")</f>
        <v/>
      </c>
    </row>
    <row r="59">
      <c r="A59" s="4" t="n"/>
      <c r="B59" s="4" t="n"/>
      <c r="C59" s="5">
        <f>IF(AND(ISNUMBER(A59),ISNUMBER(B59),ISNUMBER($K$2),ISNUMBER($K$3),$K$3&gt;$K$2),(B59-$K$2)/($K$3-$K$2),"")</f>
        <v/>
      </c>
      <c r="D59" s="5">
        <f>IF(ISNUMBER(C59),IF(B59&lt;$K$3,LN(($K$3-$K$2)/($K$3-B59)),""),"")</f>
        <v/>
      </c>
      <c r="E59" s="5">
        <f>IF(AND(ISNUMBER(C59),ISNUMBER(D59),C59&gt;=0.2,C59&lt;=0.8),D59,"")</f>
        <v/>
      </c>
      <c r="F59" s="5">
        <f>IF(ISNUMBER(E59),A59,"")</f>
        <v/>
      </c>
      <c r="G59" s="5">
        <f>IF(AND(ISNUMBER(E59),ISNUMBER($K$4)),E59-($K$7+$K$4*A59),"")</f>
        <v/>
      </c>
    </row>
    <row r="60">
      <c r="A60" s="4" t="n"/>
      <c r="B60" s="4" t="n"/>
      <c r="C60" s="5">
        <f>IF(AND(ISNUMBER(A60),ISNUMBER(B60),ISNUMBER($K$2),ISNUMBER($K$3),$K$3&gt;$K$2),(B60-$K$2)/($K$3-$K$2),"")</f>
        <v/>
      </c>
      <c r="D60" s="5">
        <f>IF(ISNUMBER(C60),IF(B60&lt;$K$3,LN(($K$3-$K$2)/($K$3-B60)),""),"")</f>
        <v/>
      </c>
      <c r="E60" s="5">
        <f>IF(AND(ISNUMBER(C60),ISNUMBER(D60),C60&gt;=0.2,C60&lt;=0.8),D60,"")</f>
        <v/>
      </c>
      <c r="F60" s="5">
        <f>IF(ISNUMBER(E60),A60,"")</f>
        <v/>
      </c>
      <c r="G60" s="5">
        <f>IF(AND(ISNUMBER(E60),ISNUMBER($K$4)),E60-($K$7+$K$4*A60),"")</f>
        <v/>
      </c>
    </row>
    <row r="61">
      <c r="A61" s="4" t="n"/>
      <c r="B61" s="4" t="n"/>
      <c r="C61" s="5">
        <f>IF(AND(ISNUMBER(A61),ISNUMBER(B61),ISNUMBER($K$2),ISNUMBER($K$3),$K$3&gt;$K$2),(B61-$K$2)/($K$3-$K$2),"")</f>
        <v/>
      </c>
      <c r="D61" s="5">
        <f>IF(ISNUMBER(C61),IF(B61&lt;$K$3,LN(($K$3-$K$2)/($K$3-B61)),""),"")</f>
        <v/>
      </c>
      <c r="E61" s="5">
        <f>IF(AND(ISNUMBER(C61),ISNUMBER(D61),C61&gt;=0.2,C61&lt;=0.8),D61,"")</f>
        <v/>
      </c>
      <c r="F61" s="5">
        <f>IF(ISNUMBER(E61),A61,"")</f>
        <v/>
      </c>
      <c r="G61" s="5">
        <f>IF(AND(ISNUMBER(E61),ISNUMBER($K$4)),E61-($K$7+$K$4*A61),"")</f>
        <v/>
      </c>
    </row>
    <row r="62">
      <c r="A62" s="4" t="n"/>
      <c r="B62" s="4" t="n"/>
      <c r="C62" s="5">
        <f>IF(AND(ISNUMBER(A62),ISNUMBER(B62),ISNUMBER($K$2),ISNUMBER($K$3),$K$3&gt;$K$2),(B62-$K$2)/($K$3-$K$2),"")</f>
        <v/>
      </c>
      <c r="D62" s="5">
        <f>IF(ISNUMBER(C62),IF(B62&lt;$K$3,LN(($K$3-$K$2)/($K$3-B62)),""),"")</f>
        <v/>
      </c>
      <c r="E62" s="5">
        <f>IF(AND(ISNUMBER(C62),ISNUMBER(D62),C62&gt;=0.2,C62&lt;=0.8),D62,"")</f>
        <v/>
      </c>
      <c r="F62" s="5">
        <f>IF(ISNUMBER(E62),A62,"")</f>
        <v/>
      </c>
      <c r="G62" s="5">
        <f>IF(AND(ISNUMBER(E62),ISNUMBER($K$4)),E62-($K$7+$K$4*A62),"")</f>
        <v/>
      </c>
    </row>
    <row r="63">
      <c r="A63" s="4" t="n"/>
      <c r="B63" s="4" t="n"/>
      <c r="C63" s="5">
        <f>IF(AND(ISNUMBER(A63),ISNUMBER(B63),ISNUMBER($K$2),ISNUMBER($K$3),$K$3&gt;$K$2),(B63-$K$2)/($K$3-$K$2),"")</f>
        <v/>
      </c>
      <c r="D63" s="5">
        <f>IF(ISNUMBER(C63),IF(B63&lt;$K$3,LN(($K$3-$K$2)/($K$3-B63)),""),"")</f>
        <v/>
      </c>
      <c r="E63" s="5">
        <f>IF(AND(ISNUMBER(C63),ISNUMBER(D63),C63&gt;=0.2,C63&lt;=0.8),D63,"")</f>
        <v/>
      </c>
      <c r="F63" s="5">
        <f>IF(ISNUMBER(E63),A63,"")</f>
        <v/>
      </c>
      <c r="G63" s="5">
        <f>IF(AND(ISNUMBER(E63),ISNUMBER($K$4)),E63-($K$7+$K$4*A63),"")</f>
        <v/>
      </c>
    </row>
    <row r="64">
      <c r="A64" s="4" t="n"/>
      <c r="B64" s="4" t="n"/>
      <c r="C64" s="5">
        <f>IF(AND(ISNUMBER(A64),ISNUMBER(B64),ISNUMBER($K$2),ISNUMBER($K$3),$K$3&gt;$K$2),(B64-$K$2)/($K$3-$K$2),"")</f>
        <v/>
      </c>
      <c r="D64" s="5">
        <f>IF(ISNUMBER(C64),IF(B64&lt;$K$3,LN(($K$3-$K$2)/($K$3-B64)),""),"")</f>
        <v/>
      </c>
      <c r="E64" s="5">
        <f>IF(AND(ISNUMBER(C64),ISNUMBER(D64),C64&gt;=0.2,C64&lt;=0.8),D64,"")</f>
        <v/>
      </c>
      <c r="F64" s="5">
        <f>IF(ISNUMBER(E64),A64,"")</f>
        <v/>
      </c>
      <c r="G64" s="5">
        <f>IF(AND(ISNUMBER(E64),ISNUMBER($K$4)),E64-($K$7+$K$4*A64),"")</f>
        <v/>
      </c>
    </row>
    <row r="65">
      <c r="A65" s="4" t="n"/>
      <c r="B65" s="4" t="n"/>
      <c r="C65" s="5">
        <f>IF(AND(ISNUMBER(A65),ISNUMBER(B65),ISNUMBER($K$2),ISNUMBER($K$3),$K$3&gt;$K$2),(B65-$K$2)/($K$3-$K$2),"")</f>
        <v/>
      </c>
      <c r="D65" s="5">
        <f>IF(ISNUMBER(C65),IF(B65&lt;$K$3,LN(($K$3-$K$2)/($K$3-B65)),""),"")</f>
        <v/>
      </c>
      <c r="E65" s="5">
        <f>IF(AND(ISNUMBER(C65),ISNUMBER(D65),C65&gt;=0.2,C65&lt;=0.8),D65,"")</f>
        <v/>
      </c>
      <c r="F65" s="5">
        <f>IF(ISNUMBER(E65),A65,"")</f>
        <v/>
      </c>
      <c r="G65" s="5">
        <f>IF(AND(ISNUMBER(E65),ISNUMBER($K$4)),E65-($K$7+$K$4*A65),"")</f>
        <v/>
      </c>
    </row>
    <row r="66">
      <c r="A66" s="4" t="n"/>
      <c r="B66" s="4" t="n"/>
      <c r="C66" s="5">
        <f>IF(AND(ISNUMBER(A66),ISNUMBER(B66),ISNUMBER($K$2),ISNUMBER($K$3),$K$3&gt;$K$2),(B66-$K$2)/($K$3-$K$2),"")</f>
        <v/>
      </c>
      <c r="D66" s="5">
        <f>IF(ISNUMBER(C66),IF(B66&lt;$K$3,LN(($K$3-$K$2)/($K$3-B66)),""),"")</f>
        <v/>
      </c>
      <c r="E66" s="5">
        <f>IF(AND(ISNUMBER(C66),ISNUMBER(D66),C66&gt;=0.2,C66&lt;=0.8),D66,"")</f>
        <v/>
      </c>
      <c r="F66" s="5">
        <f>IF(ISNUMBER(E66),A66,"")</f>
        <v/>
      </c>
      <c r="G66" s="5">
        <f>IF(AND(ISNUMBER(E66),ISNUMBER($K$4)),E66-($K$7+$K$4*A66),"")</f>
        <v/>
      </c>
    </row>
    <row r="67">
      <c r="A67" s="4" t="n"/>
      <c r="B67" s="4" t="n"/>
      <c r="C67" s="5">
        <f>IF(AND(ISNUMBER(A67),ISNUMBER(B67),ISNUMBER($K$2),ISNUMBER($K$3),$K$3&gt;$K$2),(B67-$K$2)/($K$3-$K$2),"")</f>
        <v/>
      </c>
      <c r="D67" s="5">
        <f>IF(ISNUMBER(C67),IF(B67&lt;$K$3,LN(($K$3-$K$2)/($K$3-B67)),""),"")</f>
        <v/>
      </c>
      <c r="E67" s="5">
        <f>IF(AND(ISNUMBER(C67),ISNUMBER(D67),C67&gt;=0.2,C67&lt;=0.8),D67,"")</f>
        <v/>
      </c>
      <c r="F67" s="5">
        <f>IF(ISNUMBER(E67),A67,"")</f>
        <v/>
      </c>
      <c r="G67" s="5">
        <f>IF(AND(ISNUMBER(E67),ISNUMBER($K$4)),E67-($K$7+$K$4*A67),"")</f>
        <v/>
      </c>
    </row>
    <row r="68">
      <c r="A68" s="4" t="n"/>
      <c r="B68" s="4" t="n"/>
      <c r="C68" s="5">
        <f>IF(AND(ISNUMBER(A68),ISNUMBER(B68),ISNUMBER($K$2),ISNUMBER($K$3),$K$3&gt;$K$2),(B68-$K$2)/($K$3-$K$2),"")</f>
        <v/>
      </c>
      <c r="D68" s="5">
        <f>IF(ISNUMBER(C68),IF(B68&lt;$K$3,LN(($K$3-$K$2)/($K$3-B68)),""),"")</f>
        <v/>
      </c>
      <c r="E68" s="5">
        <f>IF(AND(ISNUMBER(C68),ISNUMBER(D68),C68&gt;=0.2,C68&lt;=0.8),D68,"")</f>
        <v/>
      </c>
      <c r="F68" s="5">
        <f>IF(ISNUMBER(E68),A68,"")</f>
        <v/>
      </c>
      <c r="G68" s="5">
        <f>IF(AND(ISNUMBER(E68),ISNUMBER($K$4)),E68-($K$7+$K$4*A68),"")</f>
        <v/>
      </c>
    </row>
    <row r="69">
      <c r="A69" s="4" t="n"/>
      <c r="B69" s="4" t="n"/>
      <c r="C69" s="5">
        <f>IF(AND(ISNUMBER(A69),ISNUMBER(B69),ISNUMBER($K$2),ISNUMBER($K$3),$K$3&gt;$K$2),(B69-$K$2)/($K$3-$K$2),"")</f>
        <v/>
      </c>
      <c r="D69" s="5">
        <f>IF(ISNUMBER(C69),IF(B69&lt;$K$3,LN(($K$3-$K$2)/($K$3-B69)),""),"")</f>
        <v/>
      </c>
      <c r="E69" s="5">
        <f>IF(AND(ISNUMBER(C69),ISNUMBER(D69),C69&gt;=0.2,C69&lt;=0.8),D69,"")</f>
        <v/>
      </c>
      <c r="F69" s="5">
        <f>IF(ISNUMBER(E69),A69,"")</f>
        <v/>
      </c>
      <c r="G69" s="5">
        <f>IF(AND(ISNUMBER(E69),ISNUMBER($K$4)),E69-($K$7+$K$4*A69),"")</f>
        <v/>
      </c>
    </row>
    <row r="70">
      <c r="A70" s="4" t="n"/>
      <c r="B70" s="4" t="n"/>
      <c r="C70" s="5">
        <f>IF(AND(ISNUMBER(A70),ISNUMBER(B70),ISNUMBER($K$2),ISNUMBER($K$3),$K$3&gt;$K$2),(B70-$K$2)/($K$3-$K$2),"")</f>
        <v/>
      </c>
      <c r="D70" s="5">
        <f>IF(ISNUMBER(C70),IF(B70&lt;$K$3,LN(($K$3-$K$2)/($K$3-B70)),""),"")</f>
        <v/>
      </c>
      <c r="E70" s="5">
        <f>IF(AND(ISNUMBER(C70),ISNUMBER(D70),C70&gt;=0.2,C70&lt;=0.8),D70,"")</f>
        <v/>
      </c>
      <c r="F70" s="5">
        <f>IF(ISNUMBER(E70),A70,"")</f>
        <v/>
      </c>
      <c r="G70" s="5">
        <f>IF(AND(ISNUMBER(E70),ISNUMBER($K$4)),E70-($K$7+$K$4*A70),"")</f>
        <v/>
      </c>
    </row>
    <row r="71">
      <c r="A71" s="4" t="n"/>
      <c r="B71" s="4" t="n"/>
      <c r="C71" s="5">
        <f>IF(AND(ISNUMBER(A71),ISNUMBER(B71),ISNUMBER($K$2),ISNUMBER($K$3),$K$3&gt;$K$2),(B71-$K$2)/($K$3-$K$2),"")</f>
        <v/>
      </c>
      <c r="D71" s="5">
        <f>IF(ISNUMBER(C71),IF(B71&lt;$K$3,LN(($K$3-$K$2)/($K$3-B71)),""),"")</f>
        <v/>
      </c>
      <c r="E71" s="5">
        <f>IF(AND(ISNUMBER(C71),ISNUMBER(D71),C71&gt;=0.2,C71&lt;=0.8),D71,"")</f>
        <v/>
      </c>
      <c r="F71" s="5">
        <f>IF(ISNUMBER(E71),A71,"")</f>
        <v/>
      </c>
      <c r="G71" s="5">
        <f>IF(AND(ISNUMBER(E71),ISNUMBER($K$4)),E71-($K$7+$K$4*A71),"")</f>
        <v/>
      </c>
    </row>
    <row r="72">
      <c r="A72" s="4" t="n"/>
      <c r="B72" s="4" t="n"/>
      <c r="C72" s="5">
        <f>IF(AND(ISNUMBER(A72),ISNUMBER(B72),ISNUMBER($K$2),ISNUMBER($K$3),$K$3&gt;$K$2),(B72-$K$2)/($K$3-$K$2),"")</f>
        <v/>
      </c>
      <c r="D72" s="5">
        <f>IF(ISNUMBER(C72),IF(B72&lt;$K$3,LN(($K$3-$K$2)/($K$3-B72)),""),"")</f>
        <v/>
      </c>
      <c r="E72" s="5">
        <f>IF(AND(ISNUMBER(C72),ISNUMBER(D72),C72&gt;=0.2,C72&lt;=0.8),D72,"")</f>
        <v/>
      </c>
      <c r="F72" s="5">
        <f>IF(ISNUMBER(E72),A72,"")</f>
        <v/>
      </c>
      <c r="G72" s="5">
        <f>IF(AND(ISNUMBER(E72),ISNUMBER($K$4)),E72-($K$7+$K$4*A72),"")</f>
        <v/>
      </c>
    </row>
    <row r="73">
      <c r="A73" s="4" t="n"/>
      <c r="B73" s="4" t="n"/>
      <c r="C73" s="5">
        <f>IF(AND(ISNUMBER(A73),ISNUMBER(B73),ISNUMBER($K$2),ISNUMBER($K$3),$K$3&gt;$K$2),(B73-$K$2)/($K$3-$K$2),"")</f>
        <v/>
      </c>
      <c r="D73" s="5">
        <f>IF(ISNUMBER(C73),IF(B73&lt;$K$3,LN(($K$3-$K$2)/($K$3-B73)),""),"")</f>
        <v/>
      </c>
      <c r="E73" s="5">
        <f>IF(AND(ISNUMBER(C73),ISNUMBER(D73),C73&gt;=0.2,C73&lt;=0.8),D73,"")</f>
        <v/>
      </c>
      <c r="F73" s="5">
        <f>IF(ISNUMBER(E73),A73,"")</f>
        <v/>
      </c>
      <c r="G73" s="5">
        <f>IF(AND(ISNUMBER(E73),ISNUMBER($K$4)),E73-($K$7+$K$4*A73),"")</f>
        <v/>
      </c>
    </row>
    <row r="74">
      <c r="A74" s="4" t="n"/>
      <c r="B74" s="4" t="n"/>
      <c r="C74" s="5">
        <f>IF(AND(ISNUMBER(A74),ISNUMBER(B74),ISNUMBER($K$2),ISNUMBER($K$3),$K$3&gt;$K$2),(B74-$K$2)/($K$3-$K$2),"")</f>
        <v/>
      </c>
      <c r="D74" s="5">
        <f>IF(ISNUMBER(C74),IF(B74&lt;$K$3,LN(($K$3-$K$2)/($K$3-B74)),""),"")</f>
        <v/>
      </c>
      <c r="E74" s="5">
        <f>IF(AND(ISNUMBER(C74),ISNUMBER(D74),C74&gt;=0.2,C74&lt;=0.8),D74,"")</f>
        <v/>
      </c>
      <c r="F74" s="5">
        <f>IF(ISNUMBER(E74),A74,"")</f>
        <v/>
      </c>
      <c r="G74" s="5">
        <f>IF(AND(ISNUMBER(E74),ISNUMBER($K$4)),E74-($K$7+$K$4*A74),"")</f>
        <v/>
      </c>
    </row>
    <row r="75">
      <c r="A75" s="4" t="n"/>
      <c r="B75" s="4" t="n"/>
      <c r="C75" s="5">
        <f>IF(AND(ISNUMBER(A75),ISNUMBER(B75),ISNUMBER($K$2),ISNUMBER($K$3),$K$3&gt;$K$2),(B75-$K$2)/($K$3-$K$2),"")</f>
        <v/>
      </c>
      <c r="D75" s="5">
        <f>IF(ISNUMBER(C75),IF(B75&lt;$K$3,LN(($K$3-$K$2)/($K$3-B75)),""),"")</f>
        <v/>
      </c>
      <c r="E75" s="5">
        <f>IF(AND(ISNUMBER(C75),ISNUMBER(D75),C75&gt;=0.2,C75&lt;=0.8),D75,"")</f>
        <v/>
      </c>
      <c r="F75" s="5">
        <f>IF(ISNUMBER(E75),A75,"")</f>
        <v/>
      </c>
      <c r="G75" s="5">
        <f>IF(AND(ISNUMBER(E75),ISNUMBER($K$4)),E75-($K$7+$K$4*A75),"")</f>
        <v/>
      </c>
    </row>
    <row r="76">
      <c r="A76" s="4" t="n"/>
      <c r="B76" s="4" t="n"/>
      <c r="C76" s="5">
        <f>IF(AND(ISNUMBER(A76),ISNUMBER(B76),ISNUMBER($K$2),ISNUMBER($K$3),$K$3&gt;$K$2),(B76-$K$2)/($K$3-$K$2),"")</f>
        <v/>
      </c>
      <c r="D76" s="5">
        <f>IF(ISNUMBER(C76),IF(B76&lt;$K$3,LN(($K$3-$K$2)/($K$3-B76)),""),"")</f>
        <v/>
      </c>
      <c r="E76" s="5">
        <f>IF(AND(ISNUMBER(C76),ISNUMBER(D76),C76&gt;=0.2,C76&lt;=0.8),D76,"")</f>
        <v/>
      </c>
      <c r="F76" s="5">
        <f>IF(ISNUMBER(E76),A76,"")</f>
        <v/>
      </c>
      <c r="G76" s="5">
        <f>IF(AND(ISNUMBER(E76),ISNUMBER($K$4)),E76-($K$7+$K$4*A76),"")</f>
        <v/>
      </c>
    </row>
    <row r="77">
      <c r="A77" s="4" t="n"/>
      <c r="B77" s="4" t="n"/>
      <c r="C77" s="5">
        <f>IF(AND(ISNUMBER(A77),ISNUMBER(B77),ISNUMBER($K$2),ISNUMBER($K$3),$K$3&gt;$K$2),(B77-$K$2)/($K$3-$K$2),"")</f>
        <v/>
      </c>
      <c r="D77" s="5">
        <f>IF(ISNUMBER(C77),IF(B77&lt;$K$3,LN(($K$3-$K$2)/($K$3-B77)),""),"")</f>
        <v/>
      </c>
      <c r="E77" s="5">
        <f>IF(AND(ISNUMBER(C77),ISNUMBER(D77),C77&gt;=0.2,C77&lt;=0.8),D77,"")</f>
        <v/>
      </c>
      <c r="F77" s="5">
        <f>IF(ISNUMBER(E77),A77,"")</f>
        <v/>
      </c>
      <c r="G77" s="5">
        <f>IF(AND(ISNUMBER(E77),ISNUMBER($K$4)),E77-($K$7+$K$4*A77),"")</f>
        <v/>
      </c>
    </row>
    <row r="78">
      <c r="A78" s="4" t="n"/>
      <c r="B78" s="4" t="n"/>
      <c r="C78" s="5">
        <f>IF(AND(ISNUMBER(A78),ISNUMBER(B78),ISNUMBER($K$2),ISNUMBER($K$3),$K$3&gt;$K$2),(B78-$K$2)/($K$3-$K$2),"")</f>
        <v/>
      </c>
      <c r="D78" s="5">
        <f>IF(ISNUMBER(C78),IF(B78&lt;$K$3,LN(($K$3-$K$2)/($K$3-B78)),""),"")</f>
        <v/>
      </c>
      <c r="E78" s="5">
        <f>IF(AND(ISNUMBER(C78),ISNUMBER(D78),C78&gt;=0.2,C78&lt;=0.8),D78,"")</f>
        <v/>
      </c>
      <c r="F78" s="5">
        <f>IF(ISNUMBER(E78),A78,"")</f>
        <v/>
      </c>
      <c r="G78" s="5">
        <f>IF(AND(ISNUMBER(E78),ISNUMBER($K$4)),E78-($K$7+$K$4*A78),"")</f>
        <v/>
      </c>
    </row>
    <row r="79">
      <c r="A79" s="4" t="n"/>
      <c r="B79" s="4" t="n"/>
      <c r="C79" s="5">
        <f>IF(AND(ISNUMBER(A79),ISNUMBER(B79),ISNUMBER($K$2),ISNUMBER($K$3),$K$3&gt;$K$2),(B79-$K$2)/($K$3-$K$2),"")</f>
        <v/>
      </c>
      <c r="D79" s="5">
        <f>IF(ISNUMBER(C79),IF(B79&lt;$K$3,LN(($K$3-$K$2)/($K$3-B79)),""),"")</f>
        <v/>
      </c>
      <c r="E79" s="5">
        <f>IF(AND(ISNUMBER(C79),ISNUMBER(D79),C79&gt;=0.2,C79&lt;=0.8),D79,"")</f>
        <v/>
      </c>
      <c r="F79" s="5">
        <f>IF(ISNUMBER(E79),A79,"")</f>
        <v/>
      </c>
      <c r="G79" s="5">
        <f>IF(AND(ISNUMBER(E79),ISNUMBER($K$4)),E79-($K$7+$K$4*A79),"")</f>
        <v/>
      </c>
    </row>
    <row r="80">
      <c r="A80" s="4" t="n"/>
      <c r="B80" s="4" t="n"/>
      <c r="C80" s="5">
        <f>IF(AND(ISNUMBER(A80),ISNUMBER(B80),ISNUMBER($K$2),ISNUMBER($K$3),$K$3&gt;$K$2),(B80-$K$2)/($K$3-$K$2),"")</f>
        <v/>
      </c>
      <c r="D80" s="5">
        <f>IF(ISNUMBER(C80),IF(B80&lt;$K$3,LN(($K$3-$K$2)/($K$3-B80)),""),"")</f>
        <v/>
      </c>
      <c r="E80" s="5">
        <f>IF(AND(ISNUMBER(C80),ISNUMBER(D80),C80&gt;=0.2,C80&lt;=0.8),D80,"")</f>
        <v/>
      </c>
      <c r="F80" s="5">
        <f>IF(ISNUMBER(E80),A80,"")</f>
        <v/>
      </c>
      <c r="G80" s="5">
        <f>IF(AND(ISNUMBER(E80),ISNUMBER($K$4)),E80-($K$7+$K$4*A80),"")</f>
        <v/>
      </c>
    </row>
    <row r="81">
      <c r="A81" s="4" t="n"/>
      <c r="B81" s="4" t="n"/>
      <c r="C81" s="5">
        <f>IF(AND(ISNUMBER(A81),ISNUMBER(B81),ISNUMBER($K$2),ISNUMBER($K$3),$K$3&gt;$K$2),(B81-$K$2)/($K$3-$K$2),"")</f>
        <v/>
      </c>
      <c r="D81" s="5">
        <f>IF(ISNUMBER(C81),IF(B81&lt;$K$3,LN(($K$3-$K$2)/($K$3-B81)),""),"")</f>
        <v/>
      </c>
      <c r="E81" s="5">
        <f>IF(AND(ISNUMBER(C81),ISNUMBER(D81),C81&gt;=0.2,C81&lt;=0.8),D81,"")</f>
        <v/>
      </c>
      <c r="F81" s="5">
        <f>IF(ISNUMBER(E81),A81,"")</f>
        <v/>
      </c>
      <c r="G81" s="5">
        <f>IF(AND(ISNUMBER(E81),ISNUMBER($K$4)),E81-($K$7+$K$4*A81),"")</f>
        <v/>
      </c>
    </row>
    <row r="82">
      <c r="A82" s="4" t="n"/>
      <c r="B82" s="4" t="n"/>
      <c r="C82" s="5">
        <f>IF(AND(ISNUMBER(A82),ISNUMBER(B82),ISNUMBER($K$2),ISNUMBER($K$3),$K$3&gt;$K$2),(B82-$K$2)/($K$3-$K$2),"")</f>
        <v/>
      </c>
      <c r="D82" s="5">
        <f>IF(ISNUMBER(C82),IF(B82&lt;$K$3,LN(($K$3-$K$2)/($K$3-B82)),""),"")</f>
        <v/>
      </c>
      <c r="E82" s="5">
        <f>IF(AND(ISNUMBER(C82),ISNUMBER(D82),C82&gt;=0.2,C82&lt;=0.8),D82,"")</f>
        <v/>
      </c>
      <c r="F82" s="5">
        <f>IF(ISNUMBER(E82),A82,"")</f>
        <v/>
      </c>
      <c r="G82" s="5">
        <f>IF(AND(ISNUMBER(E82),ISNUMBER($K$4)),E82-($K$7+$K$4*A82),"")</f>
        <v/>
      </c>
    </row>
    <row r="83">
      <c r="A83" s="4" t="n"/>
      <c r="B83" s="4" t="n"/>
      <c r="C83" s="5">
        <f>IF(AND(ISNUMBER(A83),ISNUMBER(B83),ISNUMBER($K$2),ISNUMBER($K$3),$K$3&gt;$K$2),(B83-$K$2)/($K$3-$K$2),"")</f>
        <v/>
      </c>
      <c r="D83" s="5">
        <f>IF(ISNUMBER(C83),IF(B83&lt;$K$3,LN(($K$3-$K$2)/($K$3-B83)),""),"")</f>
        <v/>
      </c>
      <c r="E83" s="5">
        <f>IF(AND(ISNUMBER(C83),ISNUMBER(D83),C83&gt;=0.2,C83&lt;=0.8),D83,"")</f>
        <v/>
      </c>
      <c r="F83" s="5">
        <f>IF(ISNUMBER(E83),A83,"")</f>
        <v/>
      </c>
      <c r="G83" s="5">
        <f>IF(AND(ISNUMBER(E83),ISNUMBER($K$4)),E83-($K$7+$K$4*A83),"")</f>
        <v/>
      </c>
    </row>
    <row r="84">
      <c r="A84" s="4" t="n"/>
      <c r="B84" s="4" t="n"/>
      <c r="C84" s="5">
        <f>IF(AND(ISNUMBER(A84),ISNUMBER(B84),ISNUMBER($K$2),ISNUMBER($K$3),$K$3&gt;$K$2),(B84-$K$2)/($K$3-$K$2),"")</f>
        <v/>
      </c>
      <c r="D84" s="5">
        <f>IF(ISNUMBER(C84),IF(B84&lt;$K$3,LN(($K$3-$K$2)/($K$3-B84)),""),"")</f>
        <v/>
      </c>
      <c r="E84" s="5">
        <f>IF(AND(ISNUMBER(C84),ISNUMBER(D84),C84&gt;=0.2,C84&lt;=0.8),D84,"")</f>
        <v/>
      </c>
      <c r="F84" s="5">
        <f>IF(ISNUMBER(E84),A84,"")</f>
        <v/>
      </c>
      <c r="G84" s="5">
        <f>IF(AND(ISNUMBER(E84),ISNUMBER($K$4)),E84-($K$7+$K$4*A84),"")</f>
        <v/>
      </c>
    </row>
    <row r="85">
      <c r="A85" s="4" t="n"/>
      <c r="B85" s="4" t="n"/>
      <c r="C85" s="5">
        <f>IF(AND(ISNUMBER(A85),ISNUMBER(B85),ISNUMBER($K$2),ISNUMBER($K$3),$K$3&gt;$K$2),(B85-$K$2)/($K$3-$K$2),"")</f>
        <v/>
      </c>
      <c r="D85" s="5">
        <f>IF(ISNUMBER(C85),IF(B85&lt;$K$3,LN(($K$3-$K$2)/($K$3-B85)),""),"")</f>
        <v/>
      </c>
      <c r="E85" s="5">
        <f>IF(AND(ISNUMBER(C85),ISNUMBER(D85),C85&gt;=0.2,C85&lt;=0.8),D85,"")</f>
        <v/>
      </c>
      <c r="F85" s="5">
        <f>IF(ISNUMBER(E85),A85,"")</f>
        <v/>
      </c>
      <c r="G85" s="5">
        <f>IF(AND(ISNUMBER(E85),ISNUMBER($K$4)),E85-($K$7+$K$4*A85),"")</f>
        <v/>
      </c>
    </row>
    <row r="86">
      <c r="A86" s="4" t="n"/>
      <c r="B86" s="4" t="n"/>
      <c r="C86" s="5">
        <f>IF(AND(ISNUMBER(A86),ISNUMBER(B86),ISNUMBER($K$2),ISNUMBER($K$3),$K$3&gt;$K$2),(B86-$K$2)/($K$3-$K$2),"")</f>
        <v/>
      </c>
      <c r="D86" s="5">
        <f>IF(ISNUMBER(C86),IF(B86&lt;$K$3,LN(($K$3-$K$2)/($K$3-B86)),""),"")</f>
        <v/>
      </c>
      <c r="E86" s="5">
        <f>IF(AND(ISNUMBER(C86),ISNUMBER(D86),C86&gt;=0.2,C86&lt;=0.8),D86,"")</f>
        <v/>
      </c>
      <c r="F86" s="5">
        <f>IF(ISNUMBER(E86),A86,"")</f>
        <v/>
      </c>
      <c r="G86" s="5">
        <f>IF(AND(ISNUMBER(E86),ISNUMBER($K$4)),E86-($K$7+$K$4*A86),"")</f>
        <v/>
      </c>
    </row>
    <row r="87">
      <c r="A87" s="4" t="n"/>
      <c r="B87" s="4" t="n"/>
      <c r="C87" s="5">
        <f>IF(AND(ISNUMBER(A87),ISNUMBER(B87),ISNUMBER($K$2),ISNUMBER($K$3),$K$3&gt;$K$2),(B87-$K$2)/($K$3-$K$2),"")</f>
        <v/>
      </c>
      <c r="D87" s="5">
        <f>IF(ISNUMBER(C87),IF(B87&lt;$K$3,LN(($K$3-$K$2)/($K$3-B87)),""),"")</f>
        <v/>
      </c>
      <c r="E87" s="5">
        <f>IF(AND(ISNUMBER(C87),ISNUMBER(D87),C87&gt;=0.2,C87&lt;=0.8),D87,"")</f>
        <v/>
      </c>
      <c r="F87" s="5">
        <f>IF(ISNUMBER(E87),A87,"")</f>
        <v/>
      </c>
      <c r="G87" s="5">
        <f>IF(AND(ISNUMBER(E87),ISNUMBER($K$4)),E87-($K$7+$K$4*A87),"")</f>
        <v/>
      </c>
    </row>
    <row r="88">
      <c r="A88" s="4" t="n"/>
      <c r="B88" s="4" t="n"/>
      <c r="C88" s="5">
        <f>IF(AND(ISNUMBER(A88),ISNUMBER(B88),ISNUMBER($K$2),ISNUMBER($K$3),$K$3&gt;$K$2),(B88-$K$2)/($K$3-$K$2),"")</f>
        <v/>
      </c>
      <c r="D88" s="5">
        <f>IF(ISNUMBER(C88),IF(B88&lt;$K$3,LN(($K$3-$K$2)/($K$3-B88)),""),"")</f>
        <v/>
      </c>
      <c r="E88" s="5">
        <f>IF(AND(ISNUMBER(C88),ISNUMBER(D88),C88&gt;=0.2,C88&lt;=0.8),D88,"")</f>
        <v/>
      </c>
      <c r="F88" s="5">
        <f>IF(ISNUMBER(E88),A88,"")</f>
        <v/>
      </c>
      <c r="G88" s="5">
        <f>IF(AND(ISNUMBER(E88),ISNUMBER($K$4)),E88-($K$7+$K$4*A88),"")</f>
        <v/>
      </c>
    </row>
    <row r="89">
      <c r="A89" s="4" t="n"/>
      <c r="B89" s="4" t="n"/>
      <c r="C89" s="5">
        <f>IF(AND(ISNUMBER(A89),ISNUMBER(B89),ISNUMBER($K$2),ISNUMBER($K$3),$K$3&gt;$K$2),(B89-$K$2)/($K$3-$K$2),"")</f>
        <v/>
      </c>
      <c r="D89" s="5">
        <f>IF(ISNUMBER(C89),IF(B89&lt;$K$3,LN(($K$3-$K$2)/($K$3-B89)),""),"")</f>
        <v/>
      </c>
      <c r="E89" s="5">
        <f>IF(AND(ISNUMBER(C89),ISNUMBER(D89),C89&gt;=0.2,C89&lt;=0.8),D89,"")</f>
        <v/>
      </c>
      <c r="F89" s="5">
        <f>IF(ISNUMBER(E89),A89,"")</f>
        <v/>
      </c>
      <c r="G89" s="5">
        <f>IF(AND(ISNUMBER(E89),ISNUMBER($K$4)),E89-($K$7+$K$4*A89),"")</f>
        <v/>
      </c>
    </row>
    <row r="90">
      <c r="A90" s="4" t="n"/>
      <c r="B90" s="4" t="n"/>
      <c r="C90" s="5">
        <f>IF(AND(ISNUMBER(A90),ISNUMBER(B90),ISNUMBER($K$2),ISNUMBER($K$3),$K$3&gt;$K$2),(B90-$K$2)/($K$3-$K$2),"")</f>
        <v/>
      </c>
      <c r="D90" s="5">
        <f>IF(ISNUMBER(C90),IF(B90&lt;$K$3,LN(($K$3-$K$2)/($K$3-B90)),""),"")</f>
        <v/>
      </c>
      <c r="E90" s="5">
        <f>IF(AND(ISNUMBER(C90),ISNUMBER(D90),C90&gt;=0.2,C90&lt;=0.8),D90,"")</f>
        <v/>
      </c>
      <c r="F90" s="5">
        <f>IF(ISNUMBER(E90),A90,"")</f>
        <v/>
      </c>
      <c r="G90" s="5">
        <f>IF(AND(ISNUMBER(E90),ISNUMBER($K$4)),E90-($K$7+$K$4*A90),"")</f>
        <v/>
      </c>
    </row>
    <row r="91">
      <c r="A91" s="4" t="n"/>
      <c r="B91" s="4" t="n"/>
      <c r="C91" s="5">
        <f>IF(AND(ISNUMBER(A91),ISNUMBER(B91),ISNUMBER($K$2),ISNUMBER($K$3),$K$3&gt;$K$2),(B91-$K$2)/($K$3-$K$2),"")</f>
        <v/>
      </c>
      <c r="D91" s="5">
        <f>IF(ISNUMBER(C91),IF(B91&lt;$K$3,LN(($K$3-$K$2)/($K$3-B91)),""),"")</f>
        <v/>
      </c>
      <c r="E91" s="5">
        <f>IF(AND(ISNUMBER(C91),ISNUMBER(D91),C91&gt;=0.2,C91&lt;=0.8),D91,"")</f>
        <v/>
      </c>
      <c r="F91" s="5">
        <f>IF(ISNUMBER(E91),A91,"")</f>
        <v/>
      </c>
      <c r="G91" s="5">
        <f>IF(AND(ISNUMBER(E91),ISNUMBER($K$4)),E91-($K$7+$K$4*A91),"")</f>
        <v/>
      </c>
    </row>
    <row r="92">
      <c r="A92" s="4" t="n"/>
      <c r="B92" s="4" t="n"/>
      <c r="C92" s="5">
        <f>IF(AND(ISNUMBER(A92),ISNUMBER(B92),ISNUMBER($K$2),ISNUMBER($K$3),$K$3&gt;$K$2),(B92-$K$2)/($K$3-$K$2),"")</f>
        <v/>
      </c>
      <c r="D92" s="5">
        <f>IF(ISNUMBER(C92),IF(B92&lt;$K$3,LN(($K$3-$K$2)/($K$3-B92)),""),"")</f>
        <v/>
      </c>
      <c r="E92" s="5">
        <f>IF(AND(ISNUMBER(C92),ISNUMBER(D92),C92&gt;=0.2,C92&lt;=0.8),D92,"")</f>
        <v/>
      </c>
      <c r="F92" s="5">
        <f>IF(ISNUMBER(E92),A92,"")</f>
        <v/>
      </c>
      <c r="G92" s="5">
        <f>IF(AND(ISNUMBER(E92),ISNUMBER($K$4)),E92-($K$7+$K$4*A92),"")</f>
        <v/>
      </c>
    </row>
    <row r="93">
      <c r="A93" s="4" t="n"/>
      <c r="B93" s="4" t="n"/>
      <c r="C93" s="5">
        <f>IF(AND(ISNUMBER(A93),ISNUMBER(B93),ISNUMBER($K$2),ISNUMBER($K$3),$K$3&gt;$K$2),(B93-$K$2)/($K$3-$K$2),"")</f>
        <v/>
      </c>
      <c r="D93" s="5">
        <f>IF(ISNUMBER(C93),IF(B93&lt;$K$3,LN(($K$3-$K$2)/($K$3-B93)),""),"")</f>
        <v/>
      </c>
      <c r="E93" s="5">
        <f>IF(AND(ISNUMBER(C93),ISNUMBER(D93),C93&gt;=0.2,C93&lt;=0.8),D93,"")</f>
        <v/>
      </c>
      <c r="F93" s="5">
        <f>IF(ISNUMBER(E93),A93,"")</f>
        <v/>
      </c>
      <c r="G93" s="5">
        <f>IF(AND(ISNUMBER(E93),ISNUMBER($K$4)),E93-($K$7+$K$4*A93),"")</f>
        <v/>
      </c>
    </row>
    <row r="94">
      <c r="A94" s="4" t="n"/>
      <c r="B94" s="4" t="n"/>
      <c r="C94" s="5">
        <f>IF(AND(ISNUMBER(A94),ISNUMBER(B94),ISNUMBER($K$2),ISNUMBER($K$3),$K$3&gt;$K$2),(B94-$K$2)/($K$3-$K$2),"")</f>
        <v/>
      </c>
      <c r="D94" s="5">
        <f>IF(ISNUMBER(C94),IF(B94&lt;$K$3,LN(($K$3-$K$2)/($K$3-B94)),""),"")</f>
        <v/>
      </c>
      <c r="E94" s="5">
        <f>IF(AND(ISNUMBER(C94),ISNUMBER(D94),C94&gt;=0.2,C94&lt;=0.8),D94,"")</f>
        <v/>
      </c>
      <c r="F94" s="5">
        <f>IF(ISNUMBER(E94),A94,"")</f>
        <v/>
      </c>
      <c r="G94" s="5">
        <f>IF(AND(ISNUMBER(E94),ISNUMBER($K$4)),E94-($K$7+$K$4*A94),"")</f>
        <v/>
      </c>
    </row>
    <row r="95">
      <c r="A95" s="4" t="n"/>
      <c r="B95" s="4" t="n"/>
      <c r="C95" s="5">
        <f>IF(AND(ISNUMBER(A95),ISNUMBER(B95),ISNUMBER($K$2),ISNUMBER($K$3),$K$3&gt;$K$2),(B95-$K$2)/($K$3-$K$2),"")</f>
        <v/>
      </c>
      <c r="D95" s="5">
        <f>IF(ISNUMBER(C95),IF(B95&lt;$K$3,LN(($K$3-$K$2)/($K$3-B95)),""),"")</f>
        <v/>
      </c>
      <c r="E95" s="5">
        <f>IF(AND(ISNUMBER(C95),ISNUMBER(D95),C95&gt;=0.2,C95&lt;=0.8),D95,"")</f>
        <v/>
      </c>
      <c r="F95" s="5">
        <f>IF(ISNUMBER(E95),A95,"")</f>
        <v/>
      </c>
      <c r="G95" s="5">
        <f>IF(AND(ISNUMBER(E95),ISNUMBER($K$4)),E95-($K$7+$K$4*A95),"")</f>
        <v/>
      </c>
    </row>
    <row r="96">
      <c r="A96" s="4" t="n"/>
      <c r="B96" s="4" t="n"/>
      <c r="C96" s="5">
        <f>IF(AND(ISNUMBER(A96),ISNUMBER(B96),ISNUMBER($K$2),ISNUMBER($K$3),$K$3&gt;$K$2),(B96-$K$2)/($K$3-$K$2),"")</f>
        <v/>
      </c>
      <c r="D96" s="5">
        <f>IF(ISNUMBER(C96),IF(B96&lt;$K$3,LN(($K$3-$K$2)/($K$3-B96)),""),"")</f>
        <v/>
      </c>
      <c r="E96" s="5">
        <f>IF(AND(ISNUMBER(C96),ISNUMBER(D96),C96&gt;=0.2,C96&lt;=0.8),D96,"")</f>
        <v/>
      </c>
      <c r="F96" s="5">
        <f>IF(ISNUMBER(E96),A96,"")</f>
        <v/>
      </c>
      <c r="G96" s="5">
        <f>IF(AND(ISNUMBER(E96),ISNUMBER($K$4)),E96-($K$7+$K$4*A96),"")</f>
        <v/>
      </c>
    </row>
    <row r="97">
      <c r="A97" s="4" t="n"/>
      <c r="B97" s="4" t="n"/>
      <c r="C97" s="5">
        <f>IF(AND(ISNUMBER(A97),ISNUMBER(B97),ISNUMBER($K$2),ISNUMBER($K$3),$K$3&gt;$K$2),(B97-$K$2)/($K$3-$K$2),"")</f>
        <v/>
      </c>
      <c r="D97" s="5">
        <f>IF(ISNUMBER(C97),IF(B97&lt;$K$3,LN(($K$3-$K$2)/($K$3-B97)),""),"")</f>
        <v/>
      </c>
      <c r="E97" s="5">
        <f>IF(AND(ISNUMBER(C97),ISNUMBER(D97),C97&gt;=0.2,C97&lt;=0.8),D97,"")</f>
        <v/>
      </c>
      <c r="F97" s="5">
        <f>IF(ISNUMBER(E97),A97,"")</f>
        <v/>
      </c>
      <c r="G97" s="5">
        <f>IF(AND(ISNUMBER(E97),ISNUMBER($K$4)),E97-($K$7+$K$4*A97),"")</f>
        <v/>
      </c>
    </row>
    <row r="98">
      <c r="A98" s="4" t="n"/>
      <c r="B98" s="4" t="n"/>
      <c r="C98" s="5">
        <f>IF(AND(ISNUMBER(A98),ISNUMBER(B98),ISNUMBER($K$2),ISNUMBER($K$3),$K$3&gt;$K$2),(B98-$K$2)/($K$3-$K$2),"")</f>
        <v/>
      </c>
      <c r="D98" s="5">
        <f>IF(ISNUMBER(C98),IF(B98&lt;$K$3,LN(($K$3-$K$2)/($K$3-B98)),""),"")</f>
        <v/>
      </c>
      <c r="E98" s="5">
        <f>IF(AND(ISNUMBER(C98),ISNUMBER(D98),C98&gt;=0.2,C98&lt;=0.8),D98,"")</f>
        <v/>
      </c>
      <c r="F98" s="5">
        <f>IF(ISNUMBER(E98),A98,"")</f>
        <v/>
      </c>
      <c r="G98" s="5">
        <f>IF(AND(ISNUMBER(E98),ISNUMBER($K$4)),E98-($K$7+$K$4*A98),"")</f>
        <v/>
      </c>
    </row>
    <row r="99">
      <c r="A99" s="4" t="n"/>
      <c r="B99" s="4" t="n"/>
      <c r="C99" s="5">
        <f>IF(AND(ISNUMBER(A99),ISNUMBER(B99),ISNUMBER($K$2),ISNUMBER($K$3),$K$3&gt;$K$2),(B99-$K$2)/($K$3-$K$2),"")</f>
        <v/>
      </c>
      <c r="D99" s="5">
        <f>IF(ISNUMBER(C99),IF(B99&lt;$K$3,LN(($K$3-$K$2)/($K$3-B99)),""),"")</f>
        <v/>
      </c>
      <c r="E99" s="5">
        <f>IF(AND(ISNUMBER(C99),ISNUMBER(D99),C99&gt;=0.2,C99&lt;=0.8),D99,"")</f>
        <v/>
      </c>
      <c r="F99" s="5">
        <f>IF(ISNUMBER(E99),A99,"")</f>
        <v/>
      </c>
      <c r="G99" s="5">
        <f>IF(AND(ISNUMBER(E99),ISNUMBER($K$4)),E99-($K$7+$K$4*A99),"")</f>
        <v/>
      </c>
    </row>
    <row r="100">
      <c r="A100" s="4" t="n"/>
      <c r="B100" s="4" t="n"/>
      <c r="C100" s="5">
        <f>IF(AND(ISNUMBER(A100),ISNUMBER(B100),ISNUMBER($K$2),ISNUMBER($K$3),$K$3&gt;$K$2),(B100-$K$2)/($K$3-$K$2),"")</f>
        <v/>
      </c>
      <c r="D100" s="5">
        <f>IF(ISNUMBER(C100),IF(B100&lt;$K$3,LN(($K$3-$K$2)/($K$3-B100)),""),"")</f>
        <v/>
      </c>
      <c r="E100" s="5">
        <f>IF(AND(ISNUMBER(C100),ISNUMBER(D100),C100&gt;=0.2,C100&lt;=0.8),D100,"")</f>
        <v/>
      </c>
      <c r="F100" s="5">
        <f>IF(ISNUMBER(E100),A100,"")</f>
        <v/>
      </c>
      <c r="G100" s="5">
        <f>IF(AND(ISNUMBER(E100),ISNUMBER($K$4)),E100-($K$7+$K$4*A100),"")</f>
        <v/>
      </c>
    </row>
    <row r="101">
      <c r="A101" s="4" t="n"/>
      <c r="B101" s="4" t="n"/>
      <c r="C101" s="5">
        <f>IF(AND(ISNUMBER(A101),ISNUMBER(B101),ISNUMBER($K$2),ISNUMBER($K$3),$K$3&gt;$K$2),(B101-$K$2)/($K$3-$K$2),"")</f>
        <v/>
      </c>
      <c r="D101" s="5">
        <f>IF(ISNUMBER(C101),IF(B101&lt;$K$3,LN(($K$3-$K$2)/($K$3-B101)),""),"")</f>
        <v/>
      </c>
      <c r="E101" s="5">
        <f>IF(AND(ISNUMBER(C101),ISNUMBER(D101),C101&gt;=0.2,C101&lt;=0.8),D101,"")</f>
        <v/>
      </c>
      <c r="F101" s="5">
        <f>IF(ISNUMBER(E101),A101,"")</f>
        <v/>
      </c>
      <c r="G101" s="5">
        <f>IF(AND(ISNUMBER(E101),ISNUMBER($K$4)),E101-($K$7+$K$4*A101),"")</f>
        <v/>
      </c>
    </row>
    <row r="102">
      <c r="A102" s="4" t="n"/>
      <c r="B102" s="4" t="n"/>
      <c r="C102" s="5">
        <f>IF(AND(ISNUMBER(A102),ISNUMBER(B102),ISNUMBER($K$2),ISNUMBER($K$3),$K$3&gt;$K$2),(B102-$K$2)/($K$3-$K$2),"")</f>
        <v/>
      </c>
      <c r="D102" s="5">
        <f>IF(ISNUMBER(C102),IF(B102&lt;$K$3,LN(($K$3-$K$2)/($K$3-B102)),""),"")</f>
        <v/>
      </c>
      <c r="E102" s="5">
        <f>IF(AND(ISNUMBER(C102),ISNUMBER(D102),C102&gt;=0.2,C102&lt;=0.8),D102,"")</f>
        <v/>
      </c>
      <c r="F102" s="5">
        <f>IF(ISNUMBER(E102),A102,"")</f>
        <v/>
      </c>
      <c r="G102" s="5">
        <f>IF(AND(ISNUMBER(E102),ISNUMBER($K$4)),E102-($K$7+$K$4*A102),"")</f>
        <v/>
      </c>
    </row>
    <row r="103">
      <c r="A103" s="4" t="n"/>
      <c r="B103" s="4" t="n"/>
      <c r="C103" s="5">
        <f>IF(AND(ISNUMBER(A103),ISNUMBER(B103),ISNUMBER($K$2),ISNUMBER($K$3),$K$3&gt;$K$2),(B103-$K$2)/($K$3-$K$2),"")</f>
        <v/>
      </c>
      <c r="D103" s="5">
        <f>IF(ISNUMBER(C103),IF(B103&lt;$K$3,LN(($K$3-$K$2)/($K$3-B103)),""),"")</f>
        <v/>
      </c>
      <c r="E103" s="5">
        <f>IF(AND(ISNUMBER(C103),ISNUMBER(D103),C103&gt;=0.2,C103&lt;=0.8),D103,"")</f>
        <v/>
      </c>
      <c r="F103" s="5">
        <f>IF(ISNUMBER(E103),A103,"")</f>
        <v/>
      </c>
      <c r="G103" s="5">
        <f>IF(AND(ISNUMBER(E103),ISNUMBER($K$4)),E103-($K$7+$K$4*A103),"")</f>
        <v/>
      </c>
    </row>
    <row r="104">
      <c r="A104" s="4" t="n"/>
      <c r="B104" s="4" t="n"/>
      <c r="C104" s="5">
        <f>IF(AND(ISNUMBER(A104),ISNUMBER(B104),ISNUMBER($K$2),ISNUMBER($K$3),$K$3&gt;$K$2),(B104-$K$2)/($K$3-$K$2),"")</f>
        <v/>
      </c>
      <c r="D104" s="5">
        <f>IF(ISNUMBER(C104),IF(B104&lt;$K$3,LN(($K$3-$K$2)/($K$3-B104)),""),"")</f>
        <v/>
      </c>
      <c r="E104" s="5">
        <f>IF(AND(ISNUMBER(C104),ISNUMBER(D104),C104&gt;=0.2,C104&lt;=0.8),D104,"")</f>
        <v/>
      </c>
      <c r="F104" s="5">
        <f>IF(ISNUMBER(E104),A104,"")</f>
        <v/>
      </c>
      <c r="G104" s="5">
        <f>IF(AND(ISNUMBER(E104),ISNUMBER($K$4)),E104-($K$7+$K$4*A104),"")</f>
        <v/>
      </c>
    </row>
    <row r="105">
      <c r="A105" s="4" t="n"/>
      <c r="B105" s="4" t="n"/>
      <c r="C105" s="5">
        <f>IF(AND(ISNUMBER(A105),ISNUMBER(B105),ISNUMBER($K$2),ISNUMBER($K$3),$K$3&gt;$K$2),(B105-$K$2)/($K$3-$K$2),"")</f>
        <v/>
      </c>
      <c r="D105" s="5">
        <f>IF(ISNUMBER(C105),IF(B105&lt;$K$3,LN(($K$3-$K$2)/($K$3-B105)),""),"")</f>
        <v/>
      </c>
      <c r="E105" s="5">
        <f>IF(AND(ISNUMBER(C105),ISNUMBER(D105),C105&gt;=0.2,C105&lt;=0.8),D105,"")</f>
        <v/>
      </c>
      <c r="F105" s="5">
        <f>IF(ISNUMBER(E105),A105,"")</f>
        <v/>
      </c>
      <c r="G105" s="5">
        <f>IF(AND(ISNUMBER(E105),ISNUMBER($K$4)),E105-($K$7+$K$4*A105),"")</f>
        <v/>
      </c>
    </row>
    <row r="106">
      <c r="A106" s="4" t="n"/>
      <c r="B106" s="4" t="n"/>
      <c r="C106" s="5">
        <f>IF(AND(ISNUMBER(A106),ISNUMBER(B106),ISNUMBER($K$2),ISNUMBER($K$3),$K$3&gt;$K$2),(B106-$K$2)/($K$3-$K$2),"")</f>
        <v/>
      </c>
      <c r="D106" s="5">
        <f>IF(ISNUMBER(C106),IF(B106&lt;$K$3,LN(($K$3-$K$2)/($K$3-B106)),""),"")</f>
        <v/>
      </c>
      <c r="E106" s="5">
        <f>IF(AND(ISNUMBER(C106),ISNUMBER(D106),C106&gt;=0.2,C106&lt;=0.8),D106,"")</f>
        <v/>
      </c>
      <c r="F106" s="5">
        <f>IF(ISNUMBER(E106),A106,"")</f>
        <v/>
      </c>
      <c r="G106" s="5">
        <f>IF(AND(ISNUMBER(E106),ISNUMBER($K$4)),E106-($K$7+$K$4*A106),"")</f>
        <v/>
      </c>
    </row>
    <row r="107">
      <c r="A107" s="4" t="n"/>
      <c r="B107" s="4" t="n"/>
      <c r="C107" s="5">
        <f>IF(AND(ISNUMBER(A107),ISNUMBER(B107),ISNUMBER($K$2),ISNUMBER($K$3),$K$3&gt;$K$2),(B107-$K$2)/($K$3-$K$2),"")</f>
        <v/>
      </c>
      <c r="D107" s="5">
        <f>IF(ISNUMBER(C107),IF(B107&lt;$K$3,LN(($K$3-$K$2)/($K$3-B107)),""),"")</f>
        <v/>
      </c>
      <c r="E107" s="5">
        <f>IF(AND(ISNUMBER(C107),ISNUMBER(D107),C107&gt;=0.2,C107&lt;=0.8),D107,"")</f>
        <v/>
      </c>
      <c r="F107" s="5">
        <f>IF(ISNUMBER(E107),A107,"")</f>
        <v/>
      </c>
      <c r="G107" s="5">
        <f>IF(AND(ISNUMBER(E107),ISNUMBER($K$4)),E107-($K$7+$K$4*A107),"")</f>
        <v/>
      </c>
    </row>
    <row r="108">
      <c r="A108" s="4" t="n"/>
      <c r="B108" s="4" t="n"/>
      <c r="C108" s="5">
        <f>IF(AND(ISNUMBER(A108),ISNUMBER(B108),ISNUMBER($K$2),ISNUMBER($K$3),$K$3&gt;$K$2),(B108-$K$2)/($K$3-$K$2),"")</f>
        <v/>
      </c>
      <c r="D108" s="5">
        <f>IF(ISNUMBER(C108),IF(B108&lt;$K$3,LN(($K$3-$K$2)/($K$3-B108)),""),"")</f>
        <v/>
      </c>
      <c r="E108" s="5">
        <f>IF(AND(ISNUMBER(C108),ISNUMBER(D108),C108&gt;=0.2,C108&lt;=0.8),D108,"")</f>
        <v/>
      </c>
      <c r="F108" s="5">
        <f>IF(ISNUMBER(E108),A108,"")</f>
        <v/>
      </c>
      <c r="G108" s="5">
        <f>IF(AND(ISNUMBER(E108),ISNUMBER($K$4)),E108-($K$7+$K$4*A108),"")</f>
        <v/>
      </c>
    </row>
    <row r="109">
      <c r="A109" s="4" t="n"/>
      <c r="B109" s="4" t="n"/>
      <c r="C109" s="5">
        <f>IF(AND(ISNUMBER(A109),ISNUMBER(B109),ISNUMBER($K$2),ISNUMBER($K$3),$K$3&gt;$K$2),(B109-$K$2)/($K$3-$K$2),"")</f>
        <v/>
      </c>
      <c r="D109" s="5">
        <f>IF(ISNUMBER(C109),IF(B109&lt;$K$3,LN(($K$3-$K$2)/($K$3-B109)),""),"")</f>
        <v/>
      </c>
      <c r="E109" s="5">
        <f>IF(AND(ISNUMBER(C109),ISNUMBER(D109),C109&gt;=0.2,C109&lt;=0.8),D109,"")</f>
        <v/>
      </c>
      <c r="F109" s="5">
        <f>IF(ISNUMBER(E109),A109,"")</f>
        <v/>
      </c>
      <c r="G109" s="5">
        <f>IF(AND(ISNUMBER(E109),ISNUMBER($K$4)),E109-($K$7+$K$4*A109),"")</f>
        <v/>
      </c>
    </row>
    <row r="110">
      <c r="A110" s="4" t="n"/>
      <c r="B110" s="4" t="n"/>
      <c r="C110" s="5">
        <f>IF(AND(ISNUMBER(A110),ISNUMBER(B110),ISNUMBER($K$2),ISNUMBER($K$3),$K$3&gt;$K$2),(B110-$K$2)/($K$3-$K$2),"")</f>
        <v/>
      </c>
      <c r="D110" s="5">
        <f>IF(ISNUMBER(C110),IF(B110&lt;$K$3,LN(($K$3-$K$2)/($K$3-B110)),""),"")</f>
        <v/>
      </c>
      <c r="E110" s="5">
        <f>IF(AND(ISNUMBER(C110),ISNUMBER(D110),C110&gt;=0.2,C110&lt;=0.8),D110,"")</f>
        <v/>
      </c>
      <c r="F110" s="5">
        <f>IF(ISNUMBER(E110),A110,"")</f>
        <v/>
      </c>
      <c r="G110" s="5">
        <f>IF(AND(ISNUMBER(E110),ISNUMBER($K$4)),E110-($K$7+$K$4*A110),"")</f>
        <v/>
      </c>
    </row>
    <row r="111">
      <c r="A111" s="4" t="n"/>
      <c r="B111" s="4" t="n"/>
      <c r="C111" s="5">
        <f>IF(AND(ISNUMBER(A111),ISNUMBER(B111),ISNUMBER($K$2),ISNUMBER($K$3),$K$3&gt;$K$2),(B111-$K$2)/($K$3-$K$2),"")</f>
        <v/>
      </c>
      <c r="D111" s="5">
        <f>IF(ISNUMBER(C111),IF(B111&lt;$K$3,LN(($K$3-$K$2)/($K$3-B111)),""),"")</f>
        <v/>
      </c>
      <c r="E111" s="5">
        <f>IF(AND(ISNUMBER(C111),ISNUMBER(D111),C111&gt;=0.2,C111&lt;=0.8),D111,"")</f>
        <v/>
      </c>
      <c r="F111" s="5">
        <f>IF(ISNUMBER(E111),A111,"")</f>
        <v/>
      </c>
      <c r="G111" s="5">
        <f>IF(AND(ISNUMBER(E111),ISNUMBER($K$4)),E111-($K$7+$K$4*A111),"")</f>
        <v/>
      </c>
    </row>
    <row r="112">
      <c r="A112" s="4" t="n"/>
      <c r="B112" s="4" t="n"/>
      <c r="C112" s="5">
        <f>IF(AND(ISNUMBER(A112),ISNUMBER(B112),ISNUMBER($K$2),ISNUMBER($K$3),$K$3&gt;$K$2),(B112-$K$2)/($K$3-$K$2),"")</f>
        <v/>
      </c>
      <c r="D112" s="5">
        <f>IF(ISNUMBER(C112),IF(B112&lt;$K$3,LN(($K$3-$K$2)/($K$3-B112)),""),"")</f>
        <v/>
      </c>
      <c r="E112" s="5">
        <f>IF(AND(ISNUMBER(C112),ISNUMBER(D112),C112&gt;=0.2,C112&lt;=0.8),D112,"")</f>
        <v/>
      </c>
      <c r="F112" s="5">
        <f>IF(ISNUMBER(E112),A112,"")</f>
        <v/>
      </c>
      <c r="G112" s="5">
        <f>IF(AND(ISNUMBER(E112),ISNUMBER($K$4)),E112-($K$7+$K$4*A112),"")</f>
        <v/>
      </c>
    </row>
    <row r="113">
      <c r="A113" s="4" t="n"/>
      <c r="B113" s="4" t="n"/>
      <c r="C113" s="5">
        <f>IF(AND(ISNUMBER(A113),ISNUMBER(B113),ISNUMBER($K$2),ISNUMBER($K$3),$K$3&gt;$K$2),(B113-$K$2)/($K$3-$K$2),"")</f>
        <v/>
      </c>
      <c r="D113" s="5">
        <f>IF(ISNUMBER(C113),IF(B113&lt;$K$3,LN(($K$3-$K$2)/($K$3-B113)),""),"")</f>
        <v/>
      </c>
      <c r="E113" s="5">
        <f>IF(AND(ISNUMBER(C113),ISNUMBER(D113),C113&gt;=0.2,C113&lt;=0.8),D113,"")</f>
        <v/>
      </c>
      <c r="F113" s="5">
        <f>IF(ISNUMBER(E113),A113,"")</f>
        <v/>
      </c>
      <c r="G113" s="5">
        <f>IF(AND(ISNUMBER(E113),ISNUMBER($K$4)),E113-($K$7+$K$4*A113),"")</f>
        <v/>
      </c>
    </row>
    <row r="114">
      <c r="A114" s="4" t="n"/>
      <c r="B114" s="4" t="n"/>
      <c r="C114" s="5">
        <f>IF(AND(ISNUMBER(A114),ISNUMBER(B114),ISNUMBER($K$2),ISNUMBER($K$3),$K$3&gt;$K$2),(B114-$K$2)/($K$3-$K$2),"")</f>
        <v/>
      </c>
      <c r="D114" s="5">
        <f>IF(ISNUMBER(C114),IF(B114&lt;$K$3,LN(($K$3-$K$2)/($K$3-B114)),""),"")</f>
        <v/>
      </c>
      <c r="E114" s="5">
        <f>IF(AND(ISNUMBER(C114),ISNUMBER(D114),C114&gt;=0.2,C114&lt;=0.8),D114,"")</f>
        <v/>
      </c>
      <c r="F114" s="5">
        <f>IF(ISNUMBER(E114),A114,"")</f>
        <v/>
      </c>
      <c r="G114" s="5">
        <f>IF(AND(ISNUMBER(E114),ISNUMBER($K$4)),E114-($K$7+$K$4*A114),"")</f>
        <v/>
      </c>
    </row>
    <row r="115">
      <c r="A115" s="4" t="n"/>
      <c r="B115" s="4" t="n"/>
      <c r="C115" s="5">
        <f>IF(AND(ISNUMBER(A115),ISNUMBER(B115),ISNUMBER($K$2),ISNUMBER($K$3),$K$3&gt;$K$2),(B115-$K$2)/($K$3-$K$2),"")</f>
        <v/>
      </c>
      <c r="D115" s="5">
        <f>IF(ISNUMBER(C115),IF(B115&lt;$K$3,LN(($K$3-$K$2)/($K$3-B115)),""),"")</f>
        <v/>
      </c>
      <c r="E115" s="5">
        <f>IF(AND(ISNUMBER(C115),ISNUMBER(D115),C115&gt;=0.2,C115&lt;=0.8),D115,"")</f>
        <v/>
      </c>
      <c r="F115" s="5">
        <f>IF(ISNUMBER(E115),A115,"")</f>
        <v/>
      </c>
      <c r="G115" s="5">
        <f>IF(AND(ISNUMBER(E115),ISNUMBER($K$4)),E115-($K$7+$K$4*A115),"")</f>
        <v/>
      </c>
    </row>
    <row r="116">
      <c r="A116" s="4" t="n"/>
      <c r="B116" s="4" t="n"/>
      <c r="C116" s="5">
        <f>IF(AND(ISNUMBER(A116),ISNUMBER(B116),ISNUMBER($K$2),ISNUMBER($K$3),$K$3&gt;$K$2),(B116-$K$2)/($K$3-$K$2),"")</f>
        <v/>
      </c>
      <c r="D116" s="5">
        <f>IF(ISNUMBER(C116),IF(B116&lt;$K$3,LN(($K$3-$K$2)/($K$3-B116)),""),"")</f>
        <v/>
      </c>
      <c r="E116" s="5">
        <f>IF(AND(ISNUMBER(C116),ISNUMBER(D116),C116&gt;=0.2,C116&lt;=0.8),D116,"")</f>
        <v/>
      </c>
      <c r="F116" s="5">
        <f>IF(ISNUMBER(E116),A116,"")</f>
        <v/>
      </c>
      <c r="G116" s="5">
        <f>IF(AND(ISNUMBER(E116),ISNUMBER($K$4)),E116-($K$7+$K$4*A116),"")</f>
        <v/>
      </c>
    </row>
    <row r="117">
      <c r="A117" s="4" t="n"/>
      <c r="B117" s="4" t="n"/>
      <c r="C117" s="5">
        <f>IF(AND(ISNUMBER(A117),ISNUMBER(B117),ISNUMBER($K$2),ISNUMBER($K$3),$K$3&gt;$K$2),(B117-$K$2)/($K$3-$K$2),"")</f>
        <v/>
      </c>
      <c r="D117" s="5">
        <f>IF(ISNUMBER(C117),IF(B117&lt;$K$3,LN(($K$3-$K$2)/($K$3-B117)),""),"")</f>
        <v/>
      </c>
      <c r="E117" s="5">
        <f>IF(AND(ISNUMBER(C117),ISNUMBER(D117),C117&gt;=0.2,C117&lt;=0.8),D117,"")</f>
        <v/>
      </c>
      <c r="F117" s="5">
        <f>IF(ISNUMBER(E117),A117,"")</f>
        <v/>
      </c>
      <c r="G117" s="5">
        <f>IF(AND(ISNUMBER(E117),ISNUMBER($K$4)),E117-($K$7+$K$4*A117),"")</f>
        <v/>
      </c>
    </row>
    <row r="118">
      <c r="A118" s="4" t="n"/>
      <c r="B118" s="4" t="n"/>
      <c r="C118" s="5">
        <f>IF(AND(ISNUMBER(A118),ISNUMBER(B118),ISNUMBER($K$2),ISNUMBER($K$3),$K$3&gt;$K$2),(B118-$K$2)/($K$3-$K$2),"")</f>
        <v/>
      </c>
      <c r="D118" s="5">
        <f>IF(ISNUMBER(C118),IF(B118&lt;$K$3,LN(($K$3-$K$2)/($K$3-B118)),""),"")</f>
        <v/>
      </c>
      <c r="E118" s="5">
        <f>IF(AND(ISNUMBER(C118),ISNUMBER(D118),C118&gt;=0.2,C118&lt;=0.8),D118,"")</f>
        <v/>
      </c>
      <c r="F118" s="5">
        <f>IF(ISNUMBER(E118),A118,"")</f>
        <v/>
      </c>
      <c r="G118" s="5">
        <f>IF(AND(ISNUMBER(E118),ISNUMBER($K$4)),E118-($K$7+$K$4*A118),"")</f>
        <v/>
      </c>
    </row>
    <row r="119">
      <c r="A119" s="4" t="n"/>
      <c r="B119" s="4" t="n"/>
      <c r="C119" s="5">
        <f>IF(AND(ISNUMBER(A119),ISNUMBER(B119),ISNUMBER($K$2),ISNUMBER($K$3),$K$3&gt;$K$2),(B119-$K$2)/($K$3-$K$2),"")</f>
        <v/>
      </c>
      <c r="D119" s="5">
        <f>IF(ISNUMBER(C119),IF(B119&lt;$K$3,LN(($K$3-$K$2)/($K$3-B119)),""),"")</f>
        <v/>
      </c>
      <c r="E119" s="5">
        <f>IF(AND(ISNUMBER(C119),ISNUMBER(D119),C119&gt;=0.2,C119&lt;=0.8),D119,"")</f>
        <v/>
      </c>
      <c r="F119" s="5">
        <f>IF(ISNUMBER(E119),A119,"")</f>
        <v/>
      </c>
      <c r="G119" s="5">
        <f>IF(AND(ISNUMBER(E119),ISNUMBER($K$4)),E119-($K$7+$K$4*A119),"")</f>
        <v/>
      </c>
    </row>
    <row r="120">
      <c r="A120" s="4" t="n"/>
      <c r="B120" s="4" t="n"/>
      <c r="C120" s="5">
        <f>IF(AND(ISNUMBER(A120),ISNUMBER(B120),ISNUMBER($K$2),ISNUMBER($K$3),$K$3&gt;$K$2),(B120-$K$2)/($K$3-$K$2),"")</f>
        <v/>
      </c>
      <c r="D120" s="5">
        <f>IF(ISNUMBER(C120),IF(B120&lt;$K$3,LN(($K$3-$K$2)/($K$3-B120)),""),"")</f>
        <v/>
      </c>
      <c r="E120" s="5">
        <f>IF(AND(ISNUMBER(C120),ISNUMBER(D120),C120&gt;=0.2,C120&lt;=0.8),D120,"")</f>
        <v/>
      </c>
      <c r="F120" s="5">
        <f>IF(ISNUMBER(E120),A120,"")</f>
        <v/>
      </c>
      <c r="G120" s="5">
        <f>IF(AND(ISNUMBER(E120),ISNUMBER($K$4)),E120-($K$7+$K$4*A120),"")</f>
        <v/>
      </c>
    </row>
    <row r="121">
      <c r="A121" s="4" t="n"/>
      <c r="B121" s="4" t="n"/>
      <c r="C121" s="5">
        <f>IF(AND(ISNUMBER(A121),ISNUMBER(B121),ISNUMBER($K$2),ISNUMBER($K$3),$K$3&gt;$K$2),(B121-$K$2)/($K$3-$K$2),"")</f>
        <v/>
      </c>
      <c r="D121" s="5">
        <f>IF(ISNUMBER(C121),IF(B121&lt;$K$3,LN(($K$3-$K$2)/($K$3-B121)),""),"")</f>
        <v/>
      </c>
      <c r="E121" s="5">
        <f>IF(AND(ISNUMBER(C121),ISNUMBER(D121),C121&gt;=0.2,C121&lt;=0.8),D121,"")</f>
        <v/>
      </c>
      <c r="F121" s="5">
        <f>IF(ISNUMBER(E121),A121,"")</f>
        <v/>
      </c>
      <c r="G121" s="5">
        <f>IF(AND(ISNUMBER(E121),ISNUMBER($K$4)),E121-($K$7+$K$4*A121),"")</f>
        <v/>
      </c>
    </row>
    <row r="122">
      <c r="A122" s="4" t="n"/>
      <c r="B122" s="4" t="n"/>
      <c r="C122" s="5">
        <f>IF(AND(ISNUMBER(A122),ISNUMBER(B122),ISNUMBER($K$2),ISNUMBER($K$3),$K$3&gt;$K$2),(B122-$K$2)/($K$3-$K$2),"")</f>
        <v/>
      </c>
      <c r="D122" s="5">
        <f>IF(ISNUMBER(C122),IF(B122&lt;$K$3,LN(($K$3-$K$2)/($K$3-B122)),""),"")</f>
        <v/>
      </c>
      <c r="E122" s="5">
        <f>IF(AND(ISNUMBER(C122),ISNUMBER(D122),C122&gt;=0.2,C122&lt;=0.8),D122,"")</f>
        <v/>
      </c>
      <c r="F122" s="5">
        <f>IF(ISNUMBER(E122),A122,"")</f>
        <v/>
      </c>
      <c r="G122" s="5">
        <f>IF(AND(ISNUMBER(E122),ISNUMBER($K$4)),E122-($K$7+$K$4*A122),"")</f>
        <v/>
      </c>
    </row>
    <row r="123">
      <c r="A123" s="4" t="n"/>
      <c r="B123" s="4" t="n"/>
      <c r="C123" s="5">
        <f>IF(AND(ISNUMBER(A123),ISNUMBER(B123),ISNUMBER($K$2),ISNUMBER($K$3),$K$3&gt;$K$2),(B123-$K$2)/($K$3-$K$2),"")</f>
        <v/>
      </c>
      <c r="D123" s="5">
        <f>IF(ISNUMBER(C123),IF(B123&lt;$K$3,LN(($K$3-$K$2)/($K$3-B123)),""),"")</f>
        <v/>
      </c>
      <c r="E123" s="5">
        <f>IF(AND(ISNUMBER(C123),ISNUMBER(D123),C123&gt;=0.2,C123&lt;=0.8),D123,"")</f>
        <v/>
      </c>
      <c r="F123" s="5">
        <f>IF(ISNUMBER(E123),A123,"")</f>
        <v/>
      </c>
      <c r="G123" s="5">
        <f>IF(AND(ISNUMBER(E123),ISNUMBER($K$4)),E123-($K$7+$K$4*A123),"")</f>
        <v/>
      </c>
    </row>
    <row r="124">
      <c r="A124" s="4" t="n"/>
      <c r="B124" s="4" t="n"/>
      <c r="C124" s="5">
        <f>IF(AND(ISNUMBER(A124),ISNUMBER(B124),ISNUMBER($K$2),ISNUMBER($K$3),$K$3&gt;$K$2),(B124-$K$2)/($K$3-$K$2),"")</f>
        <v/>
      </c>
      <c r="D124" s="5">
        <f>IF(ISNUMBER(C124),IF(B124&lt;$K$3,LN(($K$3-$K$2)/($K$3-B124)),""),"")</f>
        <v/>
      </c>
      <c r="E124" s="5">
        <f>IF(AND(ISNUMBER(C124),ISNUMBER(D124),C124&gt;=0.2,C124&lt;=0.8),D124,"")</f>
        <v/>
      </c>
      <c r="F124" s="5">
        <f>IF(ISNUMBER(E124),A124,"")</f>
        <v/>
      </c>
      <c r="G124" s="5">
        <f>IF(AND(ISNUMBER(E124),ISNUMBER($K$4)),E124-($K$7+$K$4*A124),"")</f>
        <v/>
      </c>
    </row>
    <row r="125">
      <c r="A125" s="4" t="n"/>
      <c r="B125" s="4" t="n"/>
      <c r="C125" s="5">
        <f>IF(AND(ISNUMBER(A125),ISNUMBER(B125),ISNUMBER($K$2),ISNUMBER($K$3),$K$3&gt;$K$2),(B125-$K$2)/($K$3-$K$2),"")</f>
        <v/>
      </c>
      <c r="D125" s="5">
        <f>IF(ISNUMBER(C125),IF(B125&lt;$K$3,LN(($K$3-$K$2)/($K$3-B125)),""),"")</f>
        <v/>
      </c>
      <c r="E125" s="5">
        <f>IF(AND(ISNUMBER(C125),ISNUMBER(D125),C125&gt;=0.2,C125&lt;=0.8),D125,"")</f>
        <v/>
      </c>
      <c r="F125" s="5">
        <f>IF(ISNUMBER(E125),A125,"")</f>
        <v/>
      </c>
      <c r="G125" s="5">
        <f>IF(AND(ISNUMBER(E125),ISNUMBER($K$4)),E125-($K$7+$K$4*A125),"")</f>
        <v/>
      </c>
    </row>
    <row r="126">
      <c r="A126" s="4" t="n"/>
      <c r="B126" s="4" t="n"/>
      <c r="C126" s="5">
        <f>IF(AND(ISNUMBER(A126),ISNUMBER(B126),ISNUMBER($K$2),ISNUMBER($K$3),$K$3&gt;$K$2),(B126-$K$2)/($K$3-$K$2),"")</f>
        <v/>
      </c>
      <c r="D126" s="5">
        <f>IF(ISNUMBER(C126),IF(B126&lt;$K$3,LN(($K$3-$K$2)/($K$3-B126)),""),"")</f>
        <v/>
      </c>
      <c r="E126" s="5">
        <f>IF(AND(ISNUMBER(C126),ISNUMBER(D126),C126&gt;=0.2,C126&lt;=0.8),D126,"")</f>
        <v/>
      </c>
      <c r="F126" s="5">
        <f>IF(ISNUMBER(E126),A126,"")</f>
        <v/>
      </c>
      <c r="G126" s="5">
        <f>IF(AND(ISNUMBER(E126),ISNUMBER($K$4)),E126-($K$7+$K$4*A126),"")</f>
        <v/>
      </c>
    </row>
    <row r="127">
      <c r="A127" s="4" t="n"/>
      <c r="B127" s="4" t="n"/>
      <c r="C127" s="5">
        <f>IF(AND(ISNUMBER(A127),ISNUMBER(B127),ISNUMBER($K$2),ISNUMBER($K$3),$K$3&gt;$K$2),(B127-$K$2)/($K$3-$K$2),"")</f>
        <v/>
      </c>
      <c r="D127" s="5">
        <f>IF(ISNUMBER(C127),IF(B127&lt;$K$3,LN(($K$3-$K$2)/($K$3-B127)),""),"")</f>
        <v/>
      </c>
      <c r="E127" s="5">
        <f>IF(AND(ISNUMBER(C127),ISNUMBER(D127),C127&gt;=0.2,C127&lt;=0.8),D127,"")</f>
        <v/>
      </c>
      <c r="F127" s="5">
        <f>IF(ISNUMBER(E127),A127,"")</f>
        <v/>
      </c>
      <c r="G127" s="5">
        <f>IF(AND(ISNUMBER(E127),ISNUMBER($K$4)),E127-($K$7+$K$4*A127),"")</f>
        <v/>
      </c>
    </row>
    <row r="128">
      <c r="A128" s="4" t="n"/>
      <c r="B128" s="4" t="n"/>
      <c r="C128" s="5">
        <f>IF(AND(ISNUMBER(A128),ISNUMBER(B128),ISNUMBER($K$2),ISNUMBER($K$3),$K$3&gt;$K$2),(B128-$K$2)/($K$3-$K$2),"")</f>
        <v/>
      </c>
      <c r="D128" s="5">
        <f>IF(ISNUMBER(C128),IF(B128&lt;$K$3,LN(($K$3-$K$2)/($K$3-B128)),""),"")</f>
        <v/>
      </c>
      <c r="E128" s="5">
        <f>IF(AND(ISNUMBER(C128),ISNUMBER(D128),C128&gt;=0.2,C128&lt;=0.8),D128,"")</f>
        <v/>
      </c>
      <c r="F128" s="5">
        <f>IF(ISNUMBER(E128),A128,"")</f>
        <v/>
      </c>
      <c r="G128" s="5">
        <f>IF(AND(ISNUMBER(E128),ISNUMBER($K$4)),E128-($K$7+$K$4*A128),"")</f>
        <v/>
      </c>
    </row>
    <row r="129">
      <c r="A129" s="4" t="n"/>
      <c r="B129" s="4" t="n"/>
      <c r="C129" s="5">
        <f>IF(AND(ISNUMBER(A129),ISNUMBER(B129),ISNUMBER($K$2),ISNUMBER($K$3),$K$3&gt;$K$2),(B129-$K$2)/($K$3-$K$2),"")</f>
        <v/>
      </c>
      <c r="D129" s="5">
        <f>IF(ISNUMBER(C129),IF(B129&lt;$K$3,LN(($K$3-$K$2)/($K$3-B129)),""),"")</f>
        <v/>
      </c>
      <c r="E129" s="5">
        <f>IF(AND(ISNUMBER(C129),ISNUMBER(D129),C129&gt;=0.2,C129&lt;=0.8),D129,"")</f>
        <v/>
      </c>
      <c r="F129" s="5">
        <f>IF(ISNUMBER(E129),A129,"")</f>
        <v/>
      </c>
      <c r="G129" s="5">
        <f>IF(AND(ISNUMBER(E129),ISNUMBER($K$4)),E129-($K$7+$K$4*A129),"")</f>
        <v/>
      </c>
    </row>
    <row r="130">
      <c r="A130" s="4" t="n"/>
      <c r="B130" s="4" t="n"/>
      <c r="C130" s="5">
        <f>IF(AND(ISNUMBER(A130),ISNUMBER(B130),ISNUMBER($K$2),ISNUMBER($K$3),$K$3&gt;$K$2),(B130-$K$2)/($K$3-$K$2),"")</f>
        <v/>
      </c>
      <c r="D130" s="5">
        <f>IF(ISNUMBER(C130),IF(B130&lt;$K$3,LN(($K$3-$K$2)/($K$3-B130)),""),"")</f>
        <v/>
      </c>
      <c r="E130" s="5">
        <f>IF(AND(ISNUMBER(C130),ISNUMBER(D130),C130&gt;=0.2,C130&lt;=0.8),D130,"")</f>
        <v/>
      </c>
      <c r="F130" s="5">
        <f>IF(ISNUMBER(E130),A130,"")</f>
        <v/>
      </c>
      <c r="G130" s="5">
        <f>IF(AND(ISNUMBER(E130),ISNUMBER($K$4)),E130-($K$7+$K$4*A130),"")</f>
        <v/>
      </c>
    </row>
    <row r="131">
      <c r="A131" s="4" t="n"/>
      <c r="B131" s="4" t="n"/>
      <c r="C131" s="5">
        <f>IF(AND(ISNUMBER(A131),ISNUMBER(B131),ISNUMBER($K$2),ISNUMBER($K$3),$K$3&gt;$K$2),(B131-$K$2)/($K$3-$K$2),"")</f>
        <v/>
      </c>
      <c r="D131" s="5">
        <f>IF(ISNUMBER(C131),IF(B131&lt;$K$3,LN(($K$3-$K$2)/($K$3-B131)),""),"")</f>
        <v/>
      </c>
      <c r="E131" s="5">
        <f>IF(AND(ISNUMBER(C131),ISNUMBER(D131),C131&gt;=0.2,C131&lt;=0.8),D131,"")</f>
        <v/>
      </c>
      <c r="F131" s="5">
        <f>IF(ISNUMBER(E131),A131,"")</f>
        <v/>
      </c>
      <c r="G131" s="5">
        <f>IF(AND(ISNUMBER(E131),ISNUMBER($K$4)),E131-($K$7+$K$4*A131),"")</f>
        <v/>
      </c>
    </row>
    <row r="132">
      <c r="A132" s="4" t="n"/>
      <c r="B132" s="4" t="n"/>
      <c r="C132" s="5">
        <f>IF(AND(ISNUMBER(A132),ISNUMBER(B132),ISNUMBER($K$2),ISNUMBER($K$3),$K$3&gt;$K$2),(B132-$K$2)/($K$3-$K$2),"")</f>
        <v/>
      </c>
      <c r="D132" s="5">
        <f>IF(ISNUMBER(C132),IF(B132&lt;$K$3,LN(($K$3-$K$2)/($K$3-B132)),""),"")</f>
        <v/>
      </c>
      <c r="E132" s="5">
        <f>IF(AND(ISNUMBER(C132),ISNUMBER(D132),C132&gt;=0.2,C132&lt;=0.8),D132,"")</f>
        <v/>
      </c>
      <c r="F132" s="5">
        <f>IF(ISNUMBER(E132),A132,"")</f>
        <v/>
      </c>
      <c r="G132" s="5">
        <f>IF(AND(ISNUMBER(E132),ISNUMBER($K$4)),E132-($K$7+$K$4*A132),"")</f>
        <v/>
      </c>
    </row>
    <row r="133">
      <c r="A133" s="4" t="n"/>
      <c r="B133" s="4" t="n"/>
      <c r="C133" s="5">
        <f>IF(AND(ISNUMBER(A133),ISNUMBER(B133),ISNUMBER($K$2),ISNUMBER($K$3),$K$3&gt;$K$2),(B133-$K$2)/($K$3-$K$2),"")</f>
        <v/>
      </c>
      <c r="D133" s="5">
        <f>IF(ISNUMBER(C133),IF(B133&lt;$K$3,LN(($K$3-$K$2)/($K$3-B133)),""),"")</f>
        <v/>
      </c>
      <c r="E133" s="5">
        <f>IF(AND(ISNUMBER(C133),ISNUMBER(D133),C133&gt;=0.2,C133&lt;=0.8),D133,"")</f>
        <v/>
      </c>
      <c r="F133" s="5">
        <f>IF(ISNUMBER(E133),A133,"")</f>
        <v/>
      </c>
      <c r="G133" s="5">
        <f>IF(AND(ISNUMBER(E133),ISNUMBER($K$4)),E133-($K$7+$K$4*A133),"")</f>
        <v/>
      </c>
    </row>
    <row r="134">
      <c r="A134" s="4" t="n"/>
      <c r="B134" s="4" t="n"/>
      <c r="C134" s="5">
        <f>IF(AND(ISNUMBER(A134),ISNUMBER(B134),ISNUMBER($K$2),ISNUMBER($K$3),$K$3&gt;$K$2),(B134-$K$2)/($K$3-$K$2),"")</f>
        <v/>
      </c>
      <c r="D134" s="5">
        <f>IF(ISNUMBER(C134),IF(B134&lt;$K$3,LN(($K$3-$K$2)/($K$3-B134)),""),"")</f>
        <v/>
      </c>
      <c r="E134" s="5">
        <f>IF(AND(ISNUMBER(C134),ISNUMBER(D134),C134&gt;=0.2,C134&lt;=0.8),D134,"")</f>
        <v/>
      </c>
      <c r="F134" s="5">
        <f>IF(ISNUMBER(E134),A134,"")</f>
        <v/>
      </c>
      <c r="G134" s="5">
        <f>IF(AND(ISNUMBER(E134),ISNUMBER($K$4)),E134-($K$7+$K$4*A134),"")</f>
        <v/>
      </c>
    </row>
    <row r="135">
      <c r="A135" s="4" t="n"/>
      <c r="B135" s="4" t="n"/>
      <c r="C135" s="5">
        <f>IF(AND(ISNUMBER(A135),ISNUMBER(B135),ISNUMBER($K$2),ISNUMBER($K$3),$K$3&gt;$K$2),(B135-$K$2)/($K$3-$K$2),"")</f>
        <v/>
      </c>
      <c r="D135" s="5">
        <f>IF(ISNUMBER(C135),IF(B135&lt;$K$3,LN(($K$3-$K$2)/($K$3-B135)),""),"")</f>
        <v/>
      </c>
      <c r="E135" s="5">
        <f>IF(AND(ISNUMBER(C135),ISNUMBER(D135),C135&gt;=0.2,C135&lt;=0.8),D135,"")</f>
        <v/>
      </c>
      <c r="F135" s="5">
        <f>IF(ISNUMBER(E135),A135,"")</f>
        <v/>
      </c>
      <c r="G135" s="5">
        <f>IF(AND(ISNUMBER(E135),ISNUMBER($K$4)),E135-($K$7+$K$4*A135),"")</f>
        <v/>
      </c>
    </row>
    <row r="136">
      <c r="A136" s="4" t="n"/>
      <c r="B136" s="4" t="n"/>
      <c r="C136" s="5">
        <f>IF(AND(ISNUMBER(A136),ISNUMBER(B136),ISNUMBER($K$2),ISNUMBER($K$3),$K$3&gt;$K$2),(B136-$K$2)/($K$3-$K$2),"")</f>
        <v/>
      </c>
      <c r="D136" s="5">
        <f>IF(ISNUMBER(C136),IF(B136&lt;$K$3,LN(($K$3-$K$2)/($K$3-B136)),""),"")</f>
        <v/>
      </c>
      <c r="E136" s="5">
        <f>IF(AND(ISNUMBER(C136),ISNUMBER(D136),C136&gt;=0.2,C136&lt;=0.8),D136,"")</f>
        <v/>
      </c>
      <c r="F136" s="5">
        <f>IF(ISNUMBER(E136),A136,"")</f>
        <v/>
      </c>
      <c r="G136" s="5">
        <f>IF(AND(ISNUMBER(E136),ISNUMBER($K$4)),E136-($K$7+$K$4*A136),"")</f>
        <v/>
      </c>
    </row>
    <row r="137">
      <c r="A137" s="4" t="n"/>
      <c r="B137" s="4" t="n"/>
      <c r="C137" s="5">
        <f>IF(AND(ISNUMBER(A137),ISNUMBER(B137),ISNUMBER($K$2),ISNUMBER($K$3),$K$3&gt;$K$2),(B137-$K$2)/($K$3-$K$2),"")</f>
        <v/>
      </c>
      <c r="D137" s="5">
        <f>IF(ISNUMBER(C137),IF(B137&lt;$K$3,LN(($K$3-$K$2)/($K$3-B137)),""),"")</f>
        <v/>
      </c>
      <c r="E137" s="5">
        <f>IF(AND(ISNUMBER(C137),ISNUMBER(D137),C137&gt;=0.2,C137&lt;=0.8),D137,"")</f>
        <v/>
      </c>
      <c r="F137" s="5">
        <f>IF(ISNUMBER(E137),A137,"")</f>
        <v/>
      </c>
      <c r="G137" s="5">
        <f>IF(AND(ISNUMBER(E137),ISNUMBER($K$4)),E137-($K$7+$K$4*A137),"")</f>
        <v/>
      </c>
    </row>
    <row r="138">
      <c r="A138" s="4" t="n"/>
      <c r="B138" s="4" t="n"/>
      <c r="C138" s="5">
        <f>IF(AND(ISNUMBER(A138),ISNUMBER(B138),ISNUMBER($K$2),ISNUMBER($K$3),$K$3&gt;$K$2),(B138-$K$2)/($K$3-$K$2),"")</f>
        <v/>
      </c>
      <c r="D138" s="5">
        <f>IF(ISNUMBER(C138),IF(B138&lt;$K$3,LN(($K$3-$K$2)/($K$3-B138)),""),"")</f>
        <v/>
      </c>
      <c r="E138" s="5">
        <f>IF(AND(ISNUMBER(C138),ISNUMBER(D138),C138&gt;=0.2,C138&lt;=0.8),D138,"")</f>
        <v/>
      </c>
      <c r="F138" s="5">
        <f>IF(ISNUMBER(E138),A138,"")</f>
        <v/>
      </c>
      <c r="G138" s="5">
        <f>IF(AND(ISNUMBER(E138),ISNUMBER($K$4)),E138-($K$7+$K$4*A138),"")</f>
        <v/>
      </c>
    </row>
    <row r="139">
      <c r="A139" s="4" t="n"/>
      <c r="B139" s="4" t="n"/>
      <c r="C139" s="5">
        <f>IF(AND(ISNUMBER(A139),ISNUMBER(B139),ISNUMBER($K$2),ISNUMBER($K$3),$K$3&gt;$K$2),(B139-$K$2)/($K$3-$K$2),"")</f>
        <v/>
      </c>
      <c r="D139" s="5">
        <f>IF(ISNUMBER(C139),IF(B139&lt;$K$3,LN(($K$3-$K$2)/($K$3-B139)),""),"")</f>
        <v/>
      </c>
      <c r="E139" s="5">
        <f>IF(AND(ISNUMBER(C139),ISNUMBER(D139),C139&gt;=0.2,C139&lt;=0.8),D139,"")</f>
        <v/>
      </c>
      <c r="F139" s="5">
        <f>IF(ISNUMBER(E139),A139,"")</f>
        <v/>
      </c>
      <c r="G139" s="5">
        <f>IF(AND(ISNUMBER(E139),ISNUMBER($K$4)),E139-($K$7+$K$4*A139),"")</f>
        <v/>
      </c>
    </row>
    <row r="140">
      <c r="A140" s="4" t="n"/>
      <c r="B140" s="4" t="n"/>
      <c r="C140" s="5">
        <f>IF(AND(ISNUMBER(A140),ISNUMBER(B140),ISNUMBER($K$2),ISNUMBER($K$3),$K$3&gt;$K$2),(B140-$K$2)/($K$3-$K$2),"")</f>
        <v/>
      </c>
      <c r="D140" s="5">
        <f>IF(ISNUMBER(C140),IF(B140&lt;$K$3,LN(($K$3-$K$2)/($K$3-B140)),""),"")</f>
        <v/>
      </c>
      <c r="E140" s="5">
        <f>IF(AND(ISNUMBER(C140),ISNUMBER(D140),C140&gt;=0.2,C140&lt;=0.8),D140,"")</f>
        <v/>
      </c>
      <c r="F140" s="5">
        <f>IF(ISNUMBER(E140),A140,"")</f>
        <v/>
      </c>
      <c r="G140" s="5">
        <f>IF(AND(ISNUMBER(E140),ISNUMBER($K$4)),E140-($K$7+$K$4*A140),"")</f>
        <v/>
      </c>
    </row>
    <row r="141">
      <c r="A141" s="4" t="n"/>
      <c r="B141" s="4" t="n"/>
      <c r="C141" s="5">
        <f>IF(AND(ISNUMBER(A141),ISNUMBER(B141),ISNUMBER($K$2),ISNUMBER($K$3),$K$3&gt;$K$2),(B141-$K$2)/($K$3-$K$2),"")</f>
        <v/>
      </c>
      <c r="D141" s="5">
        <f>IF(ISNUMBER(C141),IF(B141&lt;$K$3,LN(($K$3-$K$2)/($K$3-B141)),""),"")</f>
        <v/>
      </c>
      <c r="E141" s="5">
        <f>IF(AND(ISNUMBER(C141),ISNUMBER(D141),C141&gt;=0.2,C141&lt;=0.8),D141,"")</f>
        <v/>
      </c>
      <c r="F141" s="5">
        <f>IF(ISNUMBER(E141),A141,"")</f>
        <v/>
      </c>
      <c r="G141" s="5">
        <f>IF(AND(ISNUMBER(E141),ISNUMBER($K$4)),E141-($K$7+$K$4*A141),"")</f>
        <v/>
      </c>
    </row>
    <row r="142">
      <c r="A142" s="4" t="n"/>
      <c r="B142" s="4" t="n"/>
      <c r="C142" s="5">
        <f>IF(AND(ISNUMBER(A142),ISNUMBER(B142),ISNUMBER($K$2),ISNUMBER($K$3),$K$3&gt;$K$2),(B142-$K$2)/($K$3-$K$2),"")</f>
        <v/>
      </c>
      <c r="D142" s="5">
        <f>IF(ISNUMBER(C142),IF(B142&lt;$K$3,LN(($K$3-$K$2)/($K$3-B142)),""),"")</f>
        <v/>
      </c>
      <c r="E142" s="5">
        <f>IF(AND(ISNUMBER(C142),ISNUMBER(D142),C142&gt;=0.2,C142&lt;=0.8),D142,"")</f>
        <v/>
      </c>
      <c r="F142" s="5">
        <f>IF(ISNUMBER(E142),A142,"")</f>
        <v/>
      </c>
      <c r="G142" s="5">
        <f>IF(AND(ISNUMBER(E142),ISNUMBER($K$4)),E142-($K$7+$K$4*A142),"")</f>
        <v/>
      </c>
    </row>
    <row r="143">
      <c r="A143" s="4" t="n"/>
      <c r="B143" s="4" t="n"/>
      <c r="C143" s="5">
        <f>IF(AND(ISNUMBER(A143),ISNUMBER(B143),ISNUMBER($K$2),ISNUMBER($K$3),$K$3&gt;$K$2),(B143-$K$2)/($K$3-$K$2),"")</f>
        <v/>
      </c>
      <c r="D143" s="5">
        <f>IF(ISNUMBER(C143),IF(B143&lt;$K$3,LN(($K$3-$K$2)/($K$3-B143)),""),"")</f>
        <v/>
      </c>
      <c r="E143" s="5">
        <f>IF(AND(ISNUMBER(C143),ISNUMBER(D143),C143&gt;=0.2,C143&lt;=0.8),D143,"")</f>
        <v/>
      </c>
      <c r="F143" s="5">
        <f>IF(ISNUMBER(E143),A143,"")</f>
        <v/>
      </c>
      <c r="G143" s="5">
        <f>IF(AND(ISNUMBER(E143),ISNUMBER($K$4)),E143-($K$7+$K$4*A143),"")</f>
        <v/>
      </c>
    </row>
    <row r="144">
      <c r="A144" s="4" t="n"/>
      <c r="B144" s="4" t="n"/>
      <c r="C144" s="5">
        <f>IF(AND(ISNUMBER(A144),ISNUMBER(B144),ISNUMBER($K$2),ISNUMBER($K$3),$K$3&gt;$K$2),(B144-$K$2)/($K$3-$K$2),"")</f>
        <v/>
      </c>
      <c r="D144" s="5">
        <f>IF(ISNUMBER(C144),IF(B144&lt;$K$3,LN(($K$3-$K$2)/($K$3-B144)),""),"")</f>
        <v/>
      </c>
      <c r="E144" s="5">
        <f>IF(AND(ISNUMBER(C144),ISNUMBER(D144),C144&gt;=0.2,C144&lt;=0.8),D144,"")</f>
        <v/>
      </c>
      <c r="F144" s="5">
        <f>IF(ISNUMBER(E144),A144,"")</f>
        <v/>
      </c>
      <c r="G144" s="5">
        <f>IF(AND(ISNUMBER(E144),ISNUMBER($K$4)),E144-($K$7+$K$4*A144),"")</f>
        <v/>
      </c>
    </row>
    <row r="145">
      <c r="A145" s="4" t="n"/>
      <c r="B145" s="4" t="n"/>
      <c r="C145" s="5">
        <f>IF(AND(ISNUMBER(A145),ISNUMBER(B145),ISNUMBER($K$2),ISNUMBER($K$3),$K$3&gt;$K$2),(B145-$K$2)/($K$3-$K$2),"")</f>
        <v/>
      </c>
      <c r="D145" s="5">
        <f>IF(ISNUMBER(C145),IF(B145&lt;$K$3,LN(($K$3-$K$2)/($K$3-B145)),""),"")</f>
        <v/>
      </c>
      <c r="E145" s="5">
        <f>IF(AND(ISNUMBER(C145),ISNUMBER(D145),C145&gt;=0.2,C145&lt;=0.8),D145,"")</f>
        <v/>
      </c>
      <c r="F145" s="5">
        <f>IF(ISNUMBER(E145),A145,"")</f>
        <v/>
      </c>
      <c r="G145" s="5">
        <f>IF(AND(ISNUMBER(E145),ISNUMBER($K$4)),E145-($K$7+$K$4*A145),"")</f>
        <v/>
      </c>
    </row>
    <row r="146">
      <c r="A146" s="4" t="n"/>
      <c r="B146" s="4" t="n"/>
      <c r="C146" s="5">
        <f>IF(AND(ISNUMBER(A146),ISNUMBER(B146),ISNUMBER($K$2),ISNUMBER($K$3),$K$3&gt;$K$2),(B146-$K$2)/($K$3-$K$2),"")</f>
        <v/>
      </c>
      <c r="D146" s="5">
        <f>IF(ISNUMBER(C146),IF(B146&lt;$K$3,LN(($K$3-$K$2)/($K$3-B146)),""),"")</f>
        <v/>
      </c>
      <c r="E146" s="5">
        <f>IF(AND(ISNUMBER(C146),ISNUMBER(D146),C146&gt;=0.2,C146&lt;=0.8),D146,"")</f>
        <v/>
      </c>
      <c r="F146" s="5">
        <f>IF(ISNUMBER(E146),A146,"")</f>
        <v/>
      </c>
      <c r="G146" s="5">
        <f>IF(AND(ISNUMBER(E146),ISNUMBER($K$4)),E146-($K$7+$K$4*A146),"")</f>
        <v/>
      </c>
    </row>
    <row r="147">
      <c r="A147" s="4" t="n"/>
      <c r="B147" s="4" t="n"/>
      <c r="C147" s="5">
        <f>IF(AND(ISNUMBER(A147),ISNUMBER(B147),ISNUMBER($K$2),ISNUMBER($K$3),$K$3&gt;$K$2),(B147-$K$2)/($K$3-$K$2),"")</f>
        <v/>
      </c>
      <c r="D147" s="5">
        <f>IF(ISNUMBER(C147),IF(B147&lt;$K$3,LN(($K$3-$K$2)/($K$3-B147)),""),"")</f>
        <v/>
      </c>
      <c r="E147" s="5">
        <f>IF(AND(ISNUMBER(C147),ISNUMBER(D147),C147&gt;=0.2,C147&lt;=0.8),D147,"")</f>
        <v/>
      </c>
      <c r="F147" s="5">
        <f>IF(ISNUMBER(E147),A147,"")</f>
        <v/>
      </c>
      <c r="G147" s="5">
        <f>IF(AND(ISNUMBER(E147),ISNUMBER($K$4)),E147-($K$7+$K$4*A147),"")</f>
        <v/>
      </c>
    </row>
    <row r="148">
      <c r="A148" s="4" t="n"/>
      <c r="B148" s="4" t="n"/>
      <c r="C148" s="5">
        <f>IF(AND(ISNUMBER(A148),ISNUMBER(B148),ISNUMBER($K$2),ISNUMBER($K$3),$K$3&gt;$K$2),(B148-$K$2)/($K$3-$K$2),"")</f>
        <v/>
      </c>
      <c r="D148" s="5">
        <f>IF(ISNUMBER(C148),IF(B148&lt;$K$3,LN(($K$3-$K$2)/($K$3-B148)),""),"")</f>
        <v/>
      </c>
      <c r="E148" s="5">
        <f>IF(AND(ISNUMBER(C148),ISNUMBER(D148),C148&gt;=0.2,C148&lt;=0.8),D148,"")</f>
        <v/>
      </c>
      <c r="F148" s="5">
        <f>IF(ISNUMBER(E148),A148,"")</f>
        <v/>
      </c>
      <c r="G148" s="5">
        <f>IF(AND(ISNUMBER(E148),ISNUMBER($K$4)),E148-($K$7+$K$4*A148),"")</f>
        <v/>
      </c>
    </row>
    <row r="149">
      <c r="A149" s="4" t="n"/>
      <c r="B149" s="4" t="n"/>
      <c r="C149" s="5">
        <f>IF(AND(ISNUMBER(A149),ISNUMBER(B149),ISNUMBER($K$2),ISNUMBER($K$3),$K$3&gt;$K$2),(B149-$K$2)/($K$3-$K$2),"")</f>
        <v/>
      </c>
      <c r="D149" s="5">
        <f>IF(ISNUMBER(C149),IF(B149&lt;$K$3,LN(($K$3-$K$2)/($K$3-B149)),""),"")</f>
        <v/>
      </c>
      <c r="E149" s="5">
        <f>IF(AND(ISNUMBER(C149),ISNUMBER(D149),C149&gt;=0.2,C149&lt;=0.8),D149,"")</f>
        <v/>
      </c>
      <c r="F149" s="5">
        <f>IF(ISNUMBER(E149),A149,"")</f>
        <v/>
      </c>
      <c r="G149" s="5">
        <f>IF(AND(ISNUMBER(E149),ISNUMBER($K$4)),E149-($K$7+$K$4*A149),"")</f>
        <v/>
      </c>
    </row>
    <row r="150">
      <c r="A150" s="4" t="n"/>
      <c r="B150" s="4" t="n"/>
      <c r="C150" s="5">
        <f>IF(AND(ISNUMBER(A150),ISNUMBER(B150),ISNUMBER($K$2),ISNUMBER($K$3),$K$3&gt;$K$2),(B150-$K$2)/($K$3-$K$2),"")</f>
        <v/>
      </c>
      <c r="D150" s="5">
        <f>IF(ISNUMBER(C150),IF(B150&lt;$K$3,LN(($K$3-$K$2)/($K$3-B150)),""),"")</f>
        <v/>
      </c>
      <c r="E150" s="5">
        <f>IF(AND(ISNUMBER(C150),ISNUMBER(D150),C150&gt;=0.2,C150&lt;=0.8),D150,"")</f>
        <v/>
      </c>
      <c r="F150" s="5">
        <f>IF(ISNUMBER(E150),A150,"")</f>
        <v/>
      </c>
      <c r="G150" s="5">
        <f>IF(AND(ISNUMBER(E150),ISNUMBER($K$4)),E150-($K$7+$K$4*A150),"")</f>
        <v/>
      </c>
    </row>
    <row r="151">
      <c r="A151" s="4" t="n"/>
      <c r="B151" s="4" t="n"/>
      <c r="C151" s="5">
        <f>IF(AND(ISNUMBER(A151),ISNUMBER(B151),ISNUMBER($K$2),ISNUMBER($K$3),$K$3&gt;$K$2),(B151-$K$2)/($K$3-$K$2),"")</f>
        <v/>
      </c>
      <c r="D151" s="5">
        <f>IF(ISNUMBER(C151),IF(B151&lt;$K$3,LN(($K$3-$K$2)/($K$3-B151)),""),"")</f>
        <v/>
      </c>
      <c r="E151" s="5">
        <f>IF(AND(ISNUMBER(C151),ISNUMBER(D151),C151&gt;=0.2,C151&lt;=0.8),D151,"")</f>
        <v/>
      </c>
      <c r="F151" s="5">
        <f>IF(ISNUMBER(E151),A151,"")</f>
        <v/>
      </c>
      <c r="G151" s="5">
        <f>IF(AND(ISNUMBER(E151),ISNUMBER($K$4)),E151-($K$7+$K$4*A151),"")</f>
        <v/>
      </c>
    </row>
    <row r="152">
      <c r="A152" s="4" t="n"/>
      <c r="B152" s="4" t="n"/>
      <c r="C152" s="5">
        <f>IF(AND(ISNUMBER(A152),ISNUMBER(B152),ISNUMBER($K$2),ISNUMBER($K$3),$K$3&gt;$K$2),(B152-$K$2)/($K$3-$K$2),"")</f>
        <v/>
      </c>
      <c r="D152" s="5">
        <f>IF(ISNUMBER(C152),IF(B152&lt;$K$3,LN(($K$3-$K$2)/($K$3-B152)),""),"")</f>
        <v/>
      </c>
      <c r="E152" s="5">
        <f>IF(AND(ISNUMBER(C152),ISNUMBER(D152),C152&gt;=0.2,C152&lt;=0.8),D152,"")</f>
        <v/>
      </c>
      <c r="F152" s="5">
        <f>IF(ISNUMBER(E152),A152,"")</f>
        <v/>
      </c>
      <c r="G152" s="5">
        <f>IF(AND(ISNUMBER(E152),ISNUMBER($K$4)),E152-($K$7+$K$4*A152),"")</f>
        <v/>
      </c>
    </row>
    <row r="153">
      <c r="A153" s="4" t="n"/>
      <c r="B153" s="4" t="n"/>
      <c r="C153" s="5">
        <f>IF(AND(ISNUMBER(A153),ISNUMBER(B153),ISNUMBER($K$2),ISNUMBER($K$3),$K$3&gt;$K$2),(B153-$K$2)/($K$3-$K$2),"")</f>
        <v/>
      </c>
      <c r="D153" s="5">
        <f>IF(ISNUMBER(C153),IF(B153&lt;$K$3,LN(($K$3-$K$2)/($K$3-B153)),""),"")</f>
        <v/>
      </c>
      <c r="E153" s="5">
        <f>IF(AND(ISNUMBER(C153),ISNUMBER(D153),C153&gt;=0.2,C153&lt;=0.8),D153,"")</f>
        <v/>
      </c>
      <c r="F153" s="5">
        <f>IF(ISNUMBER(E153),A153,"")</f>
        <v/>
      </c>
      <c r="G153" s="5">
        <f>IF(AND(ISNUMBER(E153),ISNUMBER($K$4)),E153-($K$7+$K$4*A153),"")</f>
        <v/>
      </c>
    </row>
    <row r="154">
      <c r="A154" s="4" t="n"/>
      <c r="B154" s="4" t="n"/>
      <c r="C154" s="5">
        <f>IF(AND(ISNUMBER(A154),ISNUMBER(B154),ISNUMBER($K$2),ISNUMBER($K$3),$K$3&gt;$K$2),(B154-$K$2)/($K$3-$K$2),"")</f>
        <v/>
      </c>
      <c r="D154" s="5">
        <f>IF(ISNUMBER(C154),IF(B154&lt;$K$3,LN(($K$3-$K$2)/($K$3-B154)),""),"")</f>
        <v/>
      </c>
      <c r="E154" s="5">
        <f>IF(AND(ISNUMBER(C154),ISNUMBER(D154),C154&gt;=0.2,C154&lt;=0.8),D154,"")</f>
        <v/>
      </c>
      <c r="F154" s="5">
        <f>IF(ISNUMBER(E154),A154,"")</f>
        <v/>
      </c>
      <c r="G154" s="5">
        <f>IF(AND(ISNUMBER(E154),ISNUMBER($K$4)),E154-($K$7+$K$4*A154),"")</f>
        <v/>
      </c>
    </row>
    <row r="155">
      <c r="A155" s="4" t="n"/>
      <c r="B155" s="4" t="n"/>
      <c r="C155" s="5">
        <f>IF(AND(ISNUMBER(A155),ISNUMBER(B155),ISNUMBER($K$2),ISNUMBER($K$3),$K$3&gt;$K$2),(B155-$K$2)/($K$3-$K$2),"")</f>
        <v/>
      </c>
      <c r="D155" s="5">
        <f>IF(ISNUMBER(C155),IF(B155&lt;$K$3,LN(($K$3-$K$2)/($K$3-B155)),""),"")</f>
        <v/>
      </c>
      <c r="E155" s="5">
        <f>IF(AND(ISNUMBER(C155),ISNUMBER(D155),C155&gt;=0.2,C155&lt;=0.8),D155,"")</f>
        <v/>
      </c>
      <c r="F155" s="5">
        <f>IF(ISNUMBER(E155),A155,"")</f>
        <v/>
      </c>
      <c r="G155" s="5">
        <f>IF(AND(ISNUMBER(E155),ISNUMBER($K$4)),E155-($K$7+$K$4*A155),"")</f>
        <v/>
      </c>
    </row>
    <row r="156">
      <c r="A156" s="4" t="n"/>
      <c r="B156" s="4" t="n"/>
      <c r="C156" s="5">
        <f>IF(AND(ISNUMBER(A156),ISNUMBER(B156),ISNUMBER($K$2),ISNUMBER($K$3),$K$3&gt;$K$2),(B156-$K$2)/($K$3-$K$2),"")</f>
        <v/>
      </c>
      <c r="D156" s="5">
        <f>IF(ISNUMBER(C156),IF(B156&lt;$K$3,LN(($K$3-$K$2)/($K$3-B156)),""),"")</f>
        <v/>
      </c>
      <c r="E156" s="5">
        <f>IF(AND(ISNUMBER(C156),ISNUMBER(D156),C156&gt;=0.2,C156&lt;=0.8),D156,"")</f>
        <v/>
      </c>
      <c r="F156" s="5">
        <f>IF(ISNUMBER(E156),A156,"")</f>
        <v/>
      </c>
      <c r="G156" s="5">
        <f>IF(AND(ISNUMBER(E156),ISNUMBER($K$4)),E156-($K$7+$K$4*A156),"")</f>
        <v/>
      </c>
    </row>
    <row r="157">
      <c r="A157" s="4" t="n"/>
      <c r="B157" s="4" t="n"/>
      <c r="C157" s="5">
        <f>IF(AND(ISNUMBER(A157),ISNUMBER(B157),ISNUMBER($K$2),ISNUMBER($K$3),$K$3&gt;$K$2),(B157-$K$2)/($K$3-$K$2),"")</f>
        <v/>
      </c>
      <c r="D157" s="5">
        <f>IF(ISNUMBER(C157),IF(B157&lt;$K$3,LN(($K$3-$K$2)/($K$3-B157)),""),"")</f>
        <v/>
      </c>
      <c r="E157" s="5">
        <f>IF(AND(ISNUMBER(C157),ISNUMBER(D157),C157&gt;=0.2,C157&lt;=0.8),D157,"")</f>
        <v/>
      </c>
      <c r="F157" s="5">
        <f>IF(ISNUMBER(E157),A157,"")</f>
        <v/>
      </c>
      <c r="G157" s="5">
        <f>IF(AND(ISNUMBER(E157),ISNUMBER($K$4)),E157-($K$7+$K$4*A157),"")</f>
        <v/>
      </c>
    </row>
    <row r="158">
      <c r="A158" s="4" t="n"/>
      <c r="B158" s="4" t="n"/>
      <c r="C158" s="5">
        <f>IF(AND(ISNUMBER(A158),ISNUMBER(B158),ISNUMBER($K$2),ISNUMBER($K$3),$K$3&gt;$K$2),(B158-$K$2)/($K$3-$K$2),"")</f>
        <v/>
      </c>
      <c r="D158" s="5">
        <f>IF(ISNUMBER(C158),IF(B158&lt;$K$3,LN(($K$3-$K$2)/($K$3-B158)),""),"")</f>
        <v/>
      </c>
      <c r="E158" s="5">
        <f>IF(AND(ISNUMBER(C158),ISNUMBER(D158),C158&gt;=0.2,C158&lt;=0.8),D158,"")</f>
        <v/>
      </c>
      <c r="F158" s="5">
        <f>IF(ISNUMBER(E158),A158,"")</f>
        <v/>
      </c>
      <c r="G158" s="5">
        <f>IF(AND(ISNUMBER(E158),ISNUMBER($K$4)),E158-($K$7+$K$4*A158),"")</f>
        <v/>
      </c>
    </row>
    <row r="159">
      <c r="A159" s="4" t="n"/>
      <c r="B159" s="4" t="n"/>
      <c r="C159" s="5">
        <f>IF(AND(ISNUMBER(A159),ISNUMBER(B159),ISNUMBER($K$2),ISNUMBER($K$3),$K$3&gt;$K$2),(B159-$K$2)/($K$3-$K$2),"")</f>
        <v/>
      </c>
      <c r="D159" s="5">
        <f>IF(ISNUMBER(C159),IF(B159&lt;$K$3,LN(($K$3-$K$2)/($K$3-B159)),""),"")</f>
        <v/>
      </c>
      <c r="E159" s="5">
        <f>IF(AND(ISNUMBER(C159),ISNUMBER(D159),C159&gt;=0.2,C159&lt;=0.8),D159,"")</f>
        <v/>
      </c>
      <c r="F159" s="5">
        <f>IF(ISNUMBER(E159),A159,"")</f>
        <v/>
      </c>
      <c r="G159" s="5">
        <f>IF(AND(ISNUMBER(E159),ISNUMBER($K$4)),E159-($K$7+$K$4*A159),"")</f>
        <v/>
      </c>
    </row>
    <row r="160">
      <c r="A160" s="4" t="n"/>
      <c r="B160" s="4" t="n"/>
      <c r="C160" s="5">
        <f>IF(AND(ISNUMBER(A160),ISNUMBER(B160),ISNUMBER($K$2),ISNUMBER($K$3),$K$3&gt;$K$2),(B160-$K$2)/($K$3-$K$2),"")</f>
        <v/>
      </c>
      <c r="D160" s="5">
        <f>IF(ISNUMBER(C160),IF(B160&lt;$K$3,LN(($K$3-$K$2)/($K$3-B160)),""),"")</f>
        <v/>
      </c>
      <c r="E160" s="5">
        <f>IF(AND(ISNUMBER(C160),ISNUMBER(D160),C160&gt;=0.2,C160&lt;=0.8),D160,"")</f>
        <v/>
      </c>
      <c r="F160" s="5">
        <f>IF(ISNUMBER(E160),A160,"")</f>
        <v/>
      </c>
      <c r="G160" s="5">
        <f>IF(AND(ISNUMBER(E160),ISNUMBER($K$4)),E160-($K$7+$K$4*A160),"")</f>
        <v/>
      </c>
    </row>
    <row r="161">
      <c r="A161" s="4" t="n"/>
      <c r="B161" s="4" t="n"/>
      <c r="C161" s="5">
        <f>IF(AND(ISNUMBER(A161),ISNUMBER(B161),ISNUMBER($K$2),ISNUMBER($K$3),$K$3&gt;$K$2),(B161-$K$2)/($K$3-$K$2),"")</f>
        <v/>
      </c>
      <c r="D161" s="5">
        <f>IF(ISNUMBER(C161),IF(B161&lt;$K$3,LN(($K$3-$K$2)/($K$3-B161)),""),"")</f>
        <v/>
      </c>
      <c r="E161" s="5">
        <f>IF(AND(ISNUMBER(C161),ISNUMBER(D161),C161&gt;=0.2,C161&lt;=0.8),D161,"")</f>
        <v/>
      </c>
      <c r="F161" s="5">
        <f>IF(ISNUMBER(E161),A161,"")</f>
        <v/>
      </c>
      <c r="G161" s="5">
        <f>IF(AND(ISNUMBER(E161),ISNUMBER($K$4)),E161-($K$7+$K$4*A161),"")</f>
        <v/>
      </c>
    </row>
    <row r="162">
      <c r="A162" s="4" t="n"/>
      <c r="B162" s="4" t="n"/>
      <c r="C162" s="5">
        <f>IF(AND(ISNUMBER(A162),ISNUMBER(B162),ISNUMBER($K$2),ISNUMBER($K$3),$K$3&gt;$K$2),(B162-$K$2)/($K$3-$K$2),"")</f>
        <v/>
      </c>
      <c r="D162" s="5">
        <f>IF(ISNUMBER(C162),IF(B162&lt;$K$3,LN(($K$3-$K$2)/($K$3-B162)),""),"")</f>
        <v/>
      </c>
      <c r="E162" s="5">
        <f>IF(AND(ISNUMBER(C162),ISNUMBER(D162),C162&gt;=0.2,C162&lt;=0.8),D162,"")</f>
        <v/>
      </c>
      <c r="F162" s="5">
        <f>IF(ISNUMBER(E162),A162,"")</f>
        <v/>
      </c>
      <c r="G162" s="5">
        <f>IF(AND(ISNUMBER(E162),ISNUMBER($K$4)),E162-($K$7+$K$4*A162),"")</f>
        <v/>
      </c>
    </row>
    <row r="163">
      <c r="A163" s="4" t="n"/>
      <c r="B163" s="4" t="n"/>
      <c r="C163" s="5">
        <f>IF(AND(ISNUMBER(A163),ISNUMBER(B163),ISNUMBER($K$2),ISNUMBER($K$3),$K$3&gt;$K$2),(B163-$K$2)/($K$3-$K$2),"")</f>
        <v/>
      </c>
      <c r="D163" s="5">
        <f>IF(ISNUMBER(C163),IF(B163&lt;$K$3,LN(($K$3-$K$2)/($K$3-B163)),""),"")</f>
        <v/>
      </c>
      <c r="E163" s="5">
        <f>IF(AND(ISNUMBER(C163),ISNUMBER(D163),C163&gt;=0.2,C163&lt;=0.8),D163,"")</f>
        <v/>
      </c>
      <c r="F163" s="5">
        <f>IF(ISNUMBER(E163),A163,"")</f>
        <v/>
      </c>
      <c r="G163" s="5">
        <f>IF(AND(ISNUMBER(E163),ISNUMBER($K$4)),E163-($K$7+$K$4*A163),"")</f>
        <v/>
      </c>
    </row>
    <row r="164">
      <c r="A164" s="4" t="n"/>
      <c r="B164" s="4" t="n"/>
      <c r="C164" s="5">
        <f>IF(AND(ISNUMBER(A164),ISNUMBER(B164),ISNUMBER($K$2),ISNUMBER($K$3),$K$3&gt;$K$2),(B164-$K$2)/($K$3-$K$2),"")</f>
        <v/>
      </c>
      <c r="D164" s="5">
        <f>IF(ISNUMBER(C164),IF(B164&lt;$K$3,LN(($K$3-$K$2)/($K$3-B164)),""),"")</f>
        <v/>
      </c>
      <c r="E164" s="5">
        <f>IF(AND(ISNUMBER(C164),ISNUMBER(D164),C164&gt;=0.2,C164&lt;=0.8),D164,"")</f>
        <v/>
      </c>
      <c r="F164" s="5">
        <f>IF(ISNUMBER(E164),A164,"")</f>
        <v/>
      </c>
      <c r="G164" s="5">
        <f>IF(AND(ISNUMBER(E164),ISNUMBER($K$4)),E164-($K$7+$K$4*A164),"")</f>
        <v/>
      </c>
    </row>
    <row r="165">
      <c r="A165" s="4" t="n"/>
      <c r="B165" s="4" t="n"/>
      <c r="C165" s="5">
        <f>IF(AND(ISNUMBER(A165),ISNUMBER(B165),ISNUMBER($K$2),ISNUMBER($K$3),$K$3&gt;$K$2),(B165-$K$2)/($K$3-$K$2),"")</f>
        <v/>
      </c>
      <c r="D165" s="5">
        <f>IF(ISNUMBER(C165),IF(B165&lt;$K$3,LN(($K$3-$K$2)/($K$3-B165)),""),"")</f>
        <v/>
      </c>
      <c r="E165" s="5">
        <f>IF(AND(ISNUMBER(C165),ISNUMBER(D165),C165&gt;=0.2,C165&lt;=0.8),D165,"")</f>
        <v/>
      </c>
      <c r="F165" s="5">
        <f>IF(ISNUMBER(E165),A165,"")</f>
        <v/>
      </c>
      <c r="G165" s="5">
        <f>IF(AND(ISNUMBER(E165),ISNUMBER($K$4)),E165-($K$7+$K$4*A165),"")</f>
        <v/>
      </c>
    </row>
    <row r="166">
      <c r="A166" s="4" t="n"/>
      <c r="B166" s="4" t="n"/>
      <c r="C166" s="5">
        <f>IF(AND(ISNUMBER(A166),ISNUMBER(B166),ISNUMBER($K$2),ISNUMBER($K$3),$K$3&gt;$K$2),(B166-$K$2)/($K$3-$K$2),"")</f>
        <v/>
      </c>
      <c r="D166" s="5">
        <f>IF(ISNUMBER(C166),IF(B166&lt;$K$3,LN(($K$3-$K$2)/($K$3-B166)),""),"")</f>
        <v/>
      </c>
      <c r="E166" s="5">
        <f>IF(AND(ISNUMBER(C166),ISNUMBER(D166),C166&gt;=0.2,C166&lt;=0.8),D166,"")</f>
        <v/>
      </c>
      <c r="F166" s="5">
        <f>IF(ISNUMBER(E166),A166,"")</f>
        <v/>
      </c>
      <c r="G166" s="5">
        <f>IF(AND(ISNUMBER(E166),ISNUMBER($K$4)),E166-($K$7+$K$4*A166),"")</f>
        <v/>
      </c>
    </row>
    <row r="167">
      <c r="A167" s="4" t="n"/>
      <c r="B167" s="4" t="n"/>
      <c r="C167" s="5">
        <f>IF(AND(ISNUMBER(A167),ISNUMBER(B167),ISNUMBER($K$2),ISNUMBER($K$3),$K$3&gt;$K$2),(B167-$K$2)/($K$3-$K$2),"")</f>
        <v/>
      </c>
      <c r="D167" s="5">
        <f>IF(ISNUMBER(C167),IF(B167&lt;$K$3,LN(($K$3-$K$2)/($K$3-B167)),""),"")</f>
        <v/>
      </c>
      <c r="E167" s="5">
        <f>IF(AND(ISNUMBER(C167),ISNUMBER(D167),C167&gt;=0.2,C167&lt;=0.8),D167,"")</f>
        <v/>
      </c>
      <c r="F167" s="5">
        <f>IF(ISNUMBER(E167),A167,"")</f>
        <v/>
      </c>
      <c r="G167" s="5">
        <f>IF(AND(ISNUMBER(E167),ISNUMBER($K$4)),E167-($K$7+$K$4*A167),"")</f>
        <v/>
      </c>
    </row>
    <row r="168">
      <c r="A168" s="4" t="n"/>
      <c r="B168" s="4" t="n"/>
      <c r="C168" s="5">
        <f>IF(AND(ISNUMBER(A168),ISNUMBER(B168),ISNUMBER($K$2),ISNUMBER($K$3),$K$3&gt;$K$2),(B168-$K$2)/($K$3-$K$2),"")</f>
        <v/>
      </c>
      <c r="D168" s="5">
        <f>IF(ISNUMBER(C168),IF(B168&lt;$K$3,LN(($K$3-$K$2)/($K$3-B168)),""),"")</f>
        <v/>
      </c>
      <c r="E168" s="5">
        <f>IF(AND(ISNUMBER(C168),ISNUMBER(D168),C168&gt;=0.2,C168&lt;=0.8),D168,"")</f>
        <v/>
      </c>
      <c r="F168" s="5">
        <f>IF(ISNUMBER(E168),A168,"")</f>
        <v/>
      </c>
      <c r="G168" s="5">
        <f>IF(AND(ISNUMBER(E168),ISNUMBER($K$4)),E168-($K$7+$K$4*A168),"")</f>
        <v/>
      </c>
    </row>
    <row r="169">
      <c r="A169" s="4" t="n"/>
      <c r="B169" s="4" t="n"/>
      <c r="C169" s="5">
        <f>IF(AND(ISNUMBER(A169),ISNUMBER(B169),ISNUMBER($K$2),ISNUMBER($K$3),$K$3&gt;$K$2),(B169-$K$2)/($K$3-$K$2),"")</f>
        <v/>
      </c>
      <c r="D169" s="5">
        <f>IF(ISNUMBER(C169),IF(B169&lt;$K$3,LN(($K$3-$K$2)/($K$3-B169)),""),"")</f>
        <v/>
      </c>
      <c r="E169" s="5">
        <f>IF(AND(ISNUMBER(C169),ISNUMBER(D169),C169&gt;=0.2,C169&lt;=0.8),D169,"")</f>
        <v/>
      </c>
      <c r="F169" s="5">
        <f>IF(ISNUMBER(E169),A169,"")</f>
        <v/>
      </c>
      <c r="G169" s="5">
        <f>IF(AND(ISNUMBER(E169),ISNUMBER($K$4)),E169-($K$7+$K$4*A169),"")</f>
        <v/>
      </c>
    </row>
    <row r="170">
      <c r="A170" s="4" t="n"/>
      <c r="B170" s="4" t="n"/>
      <c r="C170" s="5">
        <f>IF(AND(ISNUMBER(A170),ISNUMBER(B170),ISNUMBER($K$2),ISNUMBER($K$3),$K$3&gt;$K$2),(B170-$K$2)/($K$3-$K$2),"")</f>
        <v/>
      </c>
      <c r="D170" s="5">
        <f>IF(ISNUMBER(C170),IF(B170&lt;$K$3,LN(($K$3-$K$2)/($K$3-B170)),""),"")</f>
        <v/>
      </c>
      <c r="E170" s="5">
        <f>IF(AND(ISNUMBER(C170),ISNUMBER(D170),C170&gt;=0.2,C170&lt;=0.8),D170,"")</f>
        <v/>
      </c>
      <c r="F170" s="5">
        <f>IF(ISNUMBER(E170),A170,"")</f>
        <v/>
      </c>
      <c r="G170" s="5">
        <f>IF(AND(ISNUMBER(E170),ISNUMBER($K$4)),E170-($K$7+$K$4*A170),"")</f>
        <v/>
      </c>
    </row>
    <row r="171">
      <c r="A171" s="4" t="n"/>
      <c r="B171" s="4" t="n"/>
      <c r="C171" s="5">
        <f>IF(AND(ISNUMBER(A171),ISNUMBER(B171),ISNUMBER($K$2),ISNUMBER($K$3),$K$3&gt;$K$2),(B171-$K$2)/($K$3-$K$2),"")</f>
        <v/>
      </c>
      <c r="D171" s="5">
        <f>IF(ISNUMBER(C171),IF(B171&lt;$K$3,LN(($K$3-$K$2)/($K$3-B171)),""),"")</f>
        <v/>
      </c>
      <c r="E171" s="5">
        <f>IF(AND(ISNUMBER(C171),ISNUMBER(D171),C171&gt;=0.2,C171&lt;=0.8),D171,"")</f>
        <v/>
      </c>
      <c r="F171" s="5">
        <f>IF(ISNUMBER(E171),A171,"")</f>
        <v/>
      </c>
      <c r="G171" s="5">
        <f>IF(AND(ISNUMBER(E171),ISNUMBER($K$4)),E171-($K$7+$K$4*A171),"")</f>
        <v/>
      </c>
    </row>
    <row r="172">
      <c r="A172" s="4" t="n"/>
      <c r="B172" s="4" t="n"/>
      <c r="C172" s="5">
        <f>IF(AND(ISNUMBER(A172),ISNUMBER(B172),ISNUMBER($K$2),ISNUMBER($K$3),$K$3&gt;$K$2),(B172-$K$2)/($K$3-$K$2),"")</f>
        <v/>
      </c>
      <c r="D172" s="5">
        <f>IF(ISNUMBER(C172),IF(B172&lt;$K$3,LN(($K$3-$K$2)/($K$3-B172)),""),"")</f>
        <v/>
      </c>
      <c r="E172" s="5">
        <f>IF(AND(ISNUMBER(C172),ISNUMBER(D172),C172&gt;=0.2,C172&lt;=0.8),D172,"")</f>
        <v/>
      </c>
      <c r="F172" s="5">
        <f>IF(ISNUMBER(E172),A172,"")</f>
        <v/>
      </c>
      <c r="G172" s="5">
        <f>IF(AND(ISNUMBER(E172),ISNUMBER($K$4)),E172-($K$7+$K$4*A172),"")</f>
        <v/>
      </c>
    </row>
    <row r="173">
      <c r="A173" s="4" t="n"/>
      <c r="B173" s="4" t="n"/>
      <c r="C173" s="5">
        <f>IF(AND(ISNUMBER(A173),ISNUMBER(B173),ISNUMBER($K$2),ISNUMBER($K$3),$K$3&gt;$K$2),(B173-$K$2)/($K$3-$K$2),"")</f>
        <v/>
      </c>
      <c r="D173" s="5">
        <f>IF(ISNUMBER(C173),IF(B173&lt;$K$3,LN(($K$3-$K$2)/($K$3-B173)),""),"")</f>
        <v/>
      </c>
      <c r="E173" s="5">
        <f>IF(AND(ISNUMBER(C173),ISNUMBER(D173),C173&gt;=0.2,C173&lt;=0.8),D173,"")</f>
        <v/>
      </c>
      <c r="F173" s="5">
        <f>IF(ISNUMBER(E173),A173,"")</f>
        <v/>
      </c>
      <c r="G173" s="5">
        <f>IF(AND(ISNUMBER(E173),ISNUMBER($K$4)),E173-($K$7+$K$4*A173),"")</f>
        <v/>
      </c>
    </row>
    <row r="174">
      <c r="A174" s="4" t="n"/>
      <c r="B174" s="4" t="n"/>
      <c r="C174" s="5">
        <f>IF(AND(ISNUMBER(A174),ISNUMBER(B174),ISNUMBER($K$2),ISNUMBER($K$3),$K$3&gt;$K$2),(B174-$K$2)/($K$3-$K$2),"")</f>
        <v/>
      </c>
      <c r="D174" s="5">
        <f>IF(ISNUMBER(C174),IF(B174&lt;$K$3,LN(($K$3-$K$2)/($K$3-B174)),""),"")</f>
        <v/>
      </c>
      <c r="E174" s="5">
        <f>IF(AND(ISNUMBER(C174),ISNUMBER(D174),C174&gt;=0.2,C174&lt;=0.8),D174,"")</f>
        <v/>
      </c>
      <c r="F174" s="5">
        <f>IF(ISNUMBER(E174),A174,"")</f>
        <v/>
      </c>
      <c r="G174" s="5">
        <f>IF(AND(ISNUMBER(E174),ISNUMBER($K$4)),E174-($K$7+$K$4*A174),"")</f>
        <v/>
      </c>
    </row>
    <row r="175">
      <c r="A175" s="4" t="n"/>
      <c r="B175" s="4" t="n"/>
      <c r="C175" s="5">
        <f>IF(AND(ISNUMBER(A175),ISNUMBER(B175),ISNUMBER($K$2),ISNUMBER($K$3),$K$3&gt;$K$2),(B175-$K$2)/($K$3-$K$2),"")</f>
        <v/>
      </c>
      <c r="D175" s="5">
        <f>IF(ISNUMBER(C175),IF(B175&lt;$K$3,LN(($K$3-$K$2)/($K$3-B175)),""),"")</f>
        <v/>
      </c>
      <c r="E175" s="5">
        <f>IF(AND(ISNUMBER(C175),ISNUMBER(D175),C175&gt;=0.2,C175&lt;=0.8),D175,"")</f>
        <v/>
      </c>
      <c r="F175" s="5">
        <f>IF(ISNUMBER(E175),A175,"")</f>
        <v/>
      </c>
      <c r="G175" s="5">
        <f>IF(AND(ISNUMBER(E175),ISNUMBER($K$4)),E175-($K$7+$K$4*A175),"")</f>
        <v/>
      </c>
    </row>
    <row r="176">
      <c r="A176" s="4" t="n"/>
      <c r="B176" s="4" t="n"/>
      <c r="C176" s="5">
        <f>IF(AND(ISNUMBER(A176),ISNUMBER(B176),ISNUMBER($K$2),ISNUMBER($K$3),$K$3&gt;$K$2),(B176-$K$2)/($K$3-$K$2),"")</f>
        <v/>
      </c>
      <c r="D176" s="5">
        <f>IF(ISNUMBER(C176),IF(B176&lt;$K$3,LN(($K$3-$K$2)/($K$3-B176)),""),"")</f>
        <v/>
      </c>
      <c r="E176" s="5">
        <f>IF(AND(ISNUMBER(C176),ISNUMBER(D176),C176&gt;=0.2,C176&lt;=0.8),D176,"")</f>
        <v/>
      </c>
      <c r="F176" s="5">
        <f>IF(ISNUMBER(E176),A176,"")</f>
        <v/>
      </c>
      <c r="G176" s="5">
        <f>IF(AND(ISNUMBER(E176),ISNUMBER($K$4)),E176-($K$7+$K$4*A176),"")</f>
        <v/>
      </c>
    </row>
    <row r="177">
      <c r="A177" s="4" t="n"/>
      <c r="B177" s="4" t="n"/>
      <c r="C177" s="5">
        <f>IF(AND(ISNUMBER(A177),ISNUMBER(B177),ISNUMBER($K$2),ISNUMBER($K$3),$K$3&gt;$K$2),(B177-$K$2)/($K$3-$K$2),"")</f>
        <v/>
      </c>
      <c r="D177" s="5">
        <f>IF(ISNUMBER(C177),IF(B177&lt;$K$3,LN(($K$3-$K$2)/($K$3-B177)),""),"")</f>
        <v/>
      </c>
      <c r="E177" s="5">
        <f>IF(AND(ISNUMBER(C177),ISNUMBER(D177),C177&gt;=0.2,C177&lt;=0.8),D177,"")</f>
        <v/>
      </c>
      <c r="F177" s="5">
        <f>IF(ISNUMBER(E177),A177,"")</f>
        <v/>
      </c>
      <c r="G177" s="5">
        <f>IF(AND(ISNUMBER(E177),ISNUMBER($K$4)),E177-($K$7+$K$4*A177),"")</f>
        <v/>
      </c>
    </row>
    <row r="178">
      <c r="A178" s="4" t="n"/>
      <c r="B178" s="4" t="n"/>
      <c r="C178" s="5">
        <f>IF(AND(ISNUMBER(A178),ISNUMBER(B178),ISNUMBER($K$2),ISNUMBER($K$3),$K$3&gt;$K$2),(B178-$K$2)/($K$3-$K$2),"")</f>
        <v/>
      </c>
      <c r="D178" s="5">
        <f>IF(ISNUMBER(C178),IF(B178&lt;$K$3,LN(($K$3-$K$2)/($K$3-B178)),""),"")</f>
        <v/>
      </c>
      <c r="E178" s="5">
        <f>IF(AND(ISNUMBER(C178),ISNUMBER(D178),C178&gt;=0.2,C178&lt;=0.8),D178,"")</f>
        <v/>
      </c>
      <c r="F178" s="5">
        <f>IF(ISNUMBER(E178),A178,"")</f>
        <v/>
      </c>
      <c r="G178" s="5">
        <f>IF(AND(ISNUMBER(E178),ISNUMBER($K$4)),E178-($K$7+$K$4*A178),"")</f>
        <v/>
      </c>
    </row>
    <row r="179">
      <c r="A179" s="4" t="n"/>
      <c r="B179" s="4" t="n"/>
      <c r="C179" s="5">
        <f>IF(AND(ISNUMBER(A179),ISNUMBER(B179),ISNUMBER($K$2),ISNUMBER($K$3),$K$3&gt;$K$2),(B179-$K$2)/($K$3-$K$2),"")</f>
        <v/>
      </c>
      <c r="D179" s="5">
        <f>IF(ISNUMBER(C179),IF(B179&lt;$K$3,LN(($K$3-$K$2)/($K$3-B179)),""),"")</f>
        <v/>
      </c>
      <c r="E179" s="5">
        <f>IF(AND(ISNUMBER(C179),ISNUMBER(D179),C179&gt;=0.2,C179&lt;=0.8),D179,"")</f>
        <v/>
      </c>
      <c r="F179" s="5">
        <f>IF(ISNUMBER(E179),A179,"")</f>
        <v/>
      </c>
      <c r="G179" s="5">
        <f>IF(AND(ISNUMBER(E179),ISNUMBER($K$4)),E179-($K$7+$K$4*A179),"")</f>
        <v/>
      </c>
    </row>
    <row r="180">
      <c r="A180" s="4" t="n"/>
      <c r="B180" s="4" t="n"/>
      <c r="C180" s="5">
        <f>IF(AND(ISNUMBER(A180),ISNUMBER(B180),ISNUMBER($K$2),ISNUMBER($K$3),$K$3&gt;$K$2),(B180-$K$2)/($K$3-$K$2),"")</f>
        <v/>
      </c>
      <c r="D180" s="5">
        <f>IF(ISNUMBER(C180),IF(B180&lt;$K$3,LN(($K$3-$K$2)/($K$3-B180)),""),"")</f>
        <v/>
      </c>
      <c r="E180" s="5">
        <f>IF(AND(ISNUMBER(C180),ISNUMBER(D180),C180&gt;=0.2,C180&lt;=0.8),D180,"")</f>
        <v/>
      </c>
      <c r="F180" s="5">
        <f>IF(ISNUMBER(E180),A180,"")</f>
        <v/>
      </c>
      <c r="G180" s="5">
        <f>IF(AND(ISNUMBER(E180),ISNUMBER($K$4)),E180-($K$7+$K$4*A180),"")</f>
        <v/>
      </c>
    </row>
    <row r="181">
      <c r="A181" s="4" t="n"/>
      <c r="B181" s="4" t="n"/>
      <c r="C181" s="5">
        <f>IF(AND(ISNUMBER(A181),ISNUMBER(B181),ISNUMBER($K$2),ISNUMBER($K$3),$K$3&gt;$K$2),(B181-$K$2)/($K$3-$K$2),"")</f>
        <v/>
      </c>
      <c r="D181" s="5">
        <f>IF(ISNUMBER(C181),IF(B181&lt;$K$3,LN(($K$3-$K$2)/($K$3-B181)),""),"")</f>
        <v/>
      </c>
      <c r="E181" s="5">
        <f>IF(AND(ISNUMBER(C181),ISNUMBER(D181),C181&gt;=0.2,C181&lt;=0.8),D181,"")</f>
        <v/>
      </c>
      <c r="F181" s="5">
        <f>IF(ISNUMBER(E181),A181,"")</f>
        <v/>
      </c>
      <c r="G181" s="5">
        <f>IF(AND(ISNUMBER(E181),ISNUMBER($K$4)),E181-($K$7+$K$4*A181),"")</f>
        <v/>
      </c>
    </row>
    <row r="182">
      <c r="A182" s="4" t="n"/>
      <c r="B182" s="4" t="n"/>
      <c r="C182" s="5">
        <f>IF(AND(ISNUMBER(A182),ISNUMBER(B182),ISNUMBER($K$2),ISNUMBER($K$3),$K$3&gt;$K$2),(B182-$K$2)/($K$3-$K$2),"")</f>
        <v/>
      </c>
      <c r="D182" s="5">
        <f>IF(ISNUMBER(C182),IF(B182&lt;$K$3,LN(($K$3-$K$2)/($K$3-B182)),""),"")</f>
        <v/>
      </c>
      <c r="E182" s="5">
        <f>IF(AND(ISNUMBER(C182),ISNUMBER(D182),C182&gt;=0.2,C182&lt;=0.8),D182,"")</f>
        <v/>
      </c>
      <c r="F182" s="5">
        <f>IF(ISNUMBER(E182),A182,"")</f>
        <v/>
      </c>
      <c r="G182" s="5">
        <f>IF(AND(ISNUMBER(E182),ISNUMBER($K$4)),E182-($K$7+$K$4*A182),"")</f>
        <v/>
      </c>
    </row>
    <row r="183">
      <c r="A183" s="4" t="n"/>
      <c r="B183" s="4" t="n"/>
      <c r="C183" s="5">
        <f>IF(AND(ISNUMBER(A183),ISNUMBER(B183),ISNUMBER($K$2),ISNUMBER($K$3),$K$3&gt;$K$2),(B183-$K$2)/($K$3-$K$2),"")</f>
        <v/>
      </c>
      <c r="D183" s="5">
        <f>IF(ISNUMBER(C183),IF(B183&lt;$K$3,LN(($K$3-$K$2)/($K$3-B183)),""),"")</f>
        <v/>
      </c>
      <c r="E183" s="5">
        <f>IF(AND(ISNUMBER(C183),ISNUMBER(D183),C183&gt;=0.2,C183&lt;=0.8),D183,"")</f>
        <v/>
      </c>
      <c r="F183" s="5">
        <f>IF(ISNUMBER(E183),A183,"")</f>
        <v/>
      </c>
      <c r="G183" s="5">
        <f>IF(AND(ISNUMBER(E183),ISNUMBER($K$4)),E183-($K$7+$K$4*A183),"")</f>
        <v/>
      </c>
    </row>
    <row r="184">
      <c r="A184" s="4" t="n"/>
      <c r="B184" s="4" t="n"/>
      <c r="C184" s="5">
        <f>IF(AND(ISNUMBER(A184),ISNUMBER(B184),ISNUMBER($K$2),ISNUMBER($K$3),$K$3&gt;$K$2),(B184-$K$2)/($K$3-$K$2),"")</f>
        <v/>
      </c>
      <c r="D184" s="5">
        <f>IF(ISNUMBER(C184),IF(B184&lt;$K$3,LN(($K$3-$K$2)/($K$3-B184)),""),"")</f>
        <v/>
      </c>
      <c r="E184" s="5">
        <f>IF(AND(ISNUMBER(C184),ISNUMBER(D184),C184&gt;=0.2,C184&lt;=0.8),D184,"")</f>
        <v/>
      </c>
      <c r="F184" s="5">
        <f>IF(ISNUMBER(E184),A184,"")</f>
        <v/>
      </c>
      <c r="G184" s="5">
        <f>IF(AND(ISNUMBER(E184),ISNUMBER($K$4)),E184-($K$7+$K$4*A184),"")</f>
        <v/>
      </c>
    </row>
    <row r="185">
      <c r="A185" s="4" t="n"/>
      <c r="B185" s="4" t="n"/>
      <c r="C185" s="5">
        <f>IF(AND(ISNUMBER(A185),ISNUMBER(B185),ISNUMBER($K$2),ISNUMBER($K$3),$K$3&gt;$K$2),(B185-$K$2)/($K$3-$K$2),"")</f>
        <v/>
      </c>
      <c r="D185" s="5">
        <f>IF(ISNUMBER(C185),IF(B185&lt;$K$3,LN(($K$3-$K$2)/($K$3-B185)),""),"")</f>
        <v/>
      </c>
      <c r="E185" s="5">
        <f>IF(AND(ISNUMBER(C185),ISNUMBER(D185),C185&gt;=0.2,C185&lt;=0.8),D185,"")</f>
        <v/>
      </c>
      <c r="F185" s="5">
        <f>IF(ISNUMBER(E185),A185,"")</f>
        <v/>
      </c>
      <c r="G185" s="5">
        <f>IF(AND(ISNUMBER(E185),ISNUMBER($K$4)),E185-($K$7+$K$4*A185),"")</f>
        <v/>
      </c>
    </row>
    <row r="186">
      <c r="A186" s="4" t="n"/>
      <c r="B186" s="4" t="n"/>
      <c r="C186" s="5">
        <f>IF(AND(ISNUMBER(A186),ISNUMBER(B186),ISNUMBER($K$2),ISNUMBER($K$3),$K$3&gt;$K$2),(B186-$K$2)/($K$3-$K$2),"")</f>
        <v/>
      </c>
      <c r="D186" s="5">
        <f>IF(ISNUMBER(C186),IF(B186&lt;$K$3,LN(($K$3-$K$2)/($K$3-B186)),""),"")</f>
        <v/>
      </c>
      <c r="E186" s="5">
        <f>IF(AND(ISNUMBER(C186),ISNUMBER(D186),C186&gt;=0.2,C186&lt;=0.8),D186,"")</f>
        <v/>
      </c>
      <c r="F186" s="5">
        <f>IF(ISNUMBER(E186),A186,"")</f>
        <v/>
      </c>
      <c r="G186" s="5">
        <f>IF(AND(ISNUMBER(E186),ISNUMBER($K$4)),E186-($K$7+$K$4*A186),"")</f>
        <v/>
      </c>
    </row>
    <row r="187">
      <c r="A187" s="4" t="n"/>
      <c r="B187" s="4" t="n"/>
      <c r="C187" s="5">
        <f>IF(AND(ISNUMBER(A187),ISNUMBER(B187),ISNUMBER($K$2),ISNUMBER($K$3),$K$3&gt;$K$2),(B187-$K$2)/($K$3-$K$2),"")</f>
        <v/>
      </c>
      <c r="D187" s="5">
        <f>IF(ISNUMBER(C187),IF(B187&lt;$K$3,LN(($K$3-$K$2)/($K$3-B187)),""),"")</f>
        <v/>
      </c>
      <c r="E187" s="5">
        <f>IF(AND(ISNUMBER(C187),ISNUMBER(D187),C187&gt;=0.2,C187&lt;=0.8),D187,"")</f>
        <v/>
      </c>
      <c r="F187" s="5">
        <f>IF(ISNUMBER(E187),A187,"")</f>
        <v/>
      </c>
      <c r="G187" s="5">
        <f>IF(AND(ISNUMBER(E187),ISNUMBER($K$4)),E187-($K$7+$K$4*A187),"")</f>
        <v/>
      </c>
    </row>
    <row r="188">
      <c r="A188" s="4" t="n"/>
      <c r="B188" s="4" t="n"/>
      <c r="C188" s="5">
        <f>IF(AND(ISNUMBER(A188),ISNUMBER(B188),ISNUMBER($K$2),ISNUMBER($K$3),$K$3&gt;$K$2),(B188-$K$2)/($K$3-$K$2),"")</f>
        <v/>
      </c>
      <c r="D188" s="5">
        <f>IF(ISNUMBER(C188),IF(B188&lt;$K$3,LN(($K$3-$K$2)/($K$3-B188)),""),"")</f>
        <v/>
      </c>
      <c r="E188" s="5">
        <f>IF(AND(ISNUMBER(C188),ISNUMBER(D188),C188&gt;=0.2,C188&lt;=0.8),D188,"")</f>
        <v/>
      </c>
      <c r="F188" s="5">
        <f>IF(ISNUMBER(E188),A188,"")</f>
        <v/>
      </c>
      <c r="G188" s="5">
        <f>IF(AND(ISNUMBER(E188),ISNUMBER($K$4)),E188-($K$7+$K$4*A188),"")</f>
        <v/>
      </c>
    </row>
    <row r="189">
      <c r="A189" s="4" t="n"/>
      <c r="B189" s="4" t="n"/>
      <c r="C189" s="5">
        <f>IF(AND(ISNUMBER(A189),ISNUMBER(B189),ISNUMBER($K$2),ISNUMBER($K$3),$K$3&gt;$K$2),(B189-$K$2)/($K$3-$K$2),"")</f>
        <v/>
      </c>
      <c r="D189" s="5">
        <f>IF(ISNUMBER(C189),IF(B189&lt;$K$3,LN(($K$3-$K$2)/($K$3-B189)),""),"")</f>
        <v/>
      </c>
      <c r="E189" s="5">
        <f>IF(AND(ISNUMBER(C189),ISNUMBER(D189),C189&gt;=0.2,C189&lt;=0.8),D189,"")</f>
        <v/>
      </c>
      <c r="F189" s="5">
        <f>IF(ISNUMBER(E189),A189,"")</f>
        <v/>
      </c>
      <c r="G189" s="5">
        <f>IF(AND(ISNUMBER(E189),ISNUMBER($K$4)),E189-($K$7+$K$4*A189),"")</f>
        <v/>
      </c>
    </row>
    <row r="190">
      <c r="A190" s="4" t="n"/>
      <c r="B190" s="4" t="n"/>
      <c r="C190" s="5">
        <f>IF(AND(ISNUMBER(A190),ISNUMBER(B190),ISNUMBER($K$2),ISNUMBER($K$3),$K$3&gt;$K$2),(B190-$K$2)/($K$3-$K$2),"")</f>
        <v/>
      </c>
      <c r="D190" s="5">
        <f>IF(ISNUMBER(C190),IF(B190&lt;$K$3,LN(($K$3-$K$2)/($K$3-B190)),""),"")</f>
        <v/>
      </c>
      <c r="E190" s="5">
        <f>IF(AND(ISNUMBER(C190),ISNUMBER(D190),C190&gt;=0.2,C190&lt;=0.8),D190,"")</f>
        <v/>
      </c>
      <c r="F190" s="5">
        <f>IF(ISNUMBER(E190),A190,"")</f>
        <v/>
      </c>
      <c r="G190" s="5">
        <f>IF(AND(ISNUMBER(E190),ISNUMBER($K$4)),E190-($K$7+$K$4*A190),"")</f>
        <v/>
      </c>
    </row>
    <row r="191">
      <c r="A191" s="4" t="n"/>
      <c r="B191" s="4" t="n"/>
      <c r="C191" s="5">
        <f>IF(AND(ISNUMBER(A191),ISNUMBER(B191),ISNUMBER($K$2),ISNUMBER($K$3),$K$3&gt;$K$2),(B191-$K$2)/($K$3-$K$2),"")</f>
        <v/>
      </c>
      <c r="D191" s="5">
        <f>IF(ISNUMBER(C191),IF(B191&lt;$K$3,LN(($K$3-$K$2)/($K$3-B191)),""),"")</f>
        <v/>
      </c>
      <c r="E191" s="5">
        <f>IF(AND(ISNUMBER(C191),ISNUMBER(D191),C191&gt;=0.2,C191&lt;=0.8),D191,"")</f>
        <v/>
      </c>
      <c r="F191" s="5">
        <f>IF(ISNUMBER(E191),A191,"")</f>
        <v/>
      </c>
      <c r="G191" s="5">
        <f>IF(AND(ISNUMBER(E191),ISNUMBER($K$4)),E191-($K$7+$K$4*A191),"")</f>
        <v/>
      </c>
    </row>
    <row r="192">
      <c r="A192" s="4" t="n"/>
      <c r="B192" s="4" t="n"/>
      <c r="C192" s="5">
        <f>IF(AND(ISNUMBER(A192),ISNUMBER(B192),ISNUMBER($K$2),ISNUMBER($K$3),$K$3&gt;$K$2),(B192-$K$2)/($K$3-$K$2),"")</f>
        <v/>
      </c>
      <c r="D192" s="5">
        <f>IF(ISNUMBER(C192),IF(B192&lt;$K$3,LN(($K$3-$K$2)/($K$3-B192)),""),"")</f>
        <v/>
      </c>
      <c r="E192" s="5">
        <f>IF(AND(ISNUMBER(C192),ISNUMBER(D192),C192&gt;=0.2,C192&lt;=0.8),D192,"")</f>
        <v/>
      </c>
      <c r="F192" s="5">
        <f>IF(ISNUMBER(E192),A192,"")</f>
        <v/>
      </c>
      <c r="G192" s="5">
        <f>IF(AND(ISNUMBER(E192),ISNUMBER($K$4)),E192-($K$7+$K$4*A192),"")</f>
        <v/>
      </c>
    </row>
    <row r="193">
      <c r="A193" s="4" t="n"/>
      <c r="B193" s="4" t="n"/>
      <c r="C193" s="5">
        <f>IF(AND(ISNUMBER(A193),ISNUMBER(B193),ISNUMBER($K$2),ISNUMBER($K$3),$K$3&gt;$K$2),(B193-$K$2)/($K$3-$K$2),"")</f>
        <v/>
      </c>
      <c r="D193" s="5">
        <f>IF(ISNUMBER(C193),IF(B193&lt;$K$3,LN(($K$3-$K$2)/($K$3-B193)),""),"")</f>
        <v/>
      </c>
      <c r="E193" s="5">
        <f>IF(AND(ISNUMBER(C193),ISNUMBER(D193),C193&gt;=0.2,C193&lt;=0.8),D193,"")</f>
        <v/>
      </c>
      <c r="F193" s="5">
        <f>IF(ISNUMBER(E193),A193,"")</f>
        <v/>
      </c>
      <c r="G193" s="5">
        <f>IF(AND(ISNUMBER(E193),ISNUMBER($K$4)),E193-($K$7+$K$4*A193),"")</f>
        <v/>
      </c>
    </row>
    <row r="194">
      <c r="A194" s="4" t="n"/>
      <c r="B194" s="4" t="n"/>
      <c r="C194" s="5">
        <f>IF(AND(ISNUMBER(A194),ISNUMBER(B194),ISNUMBER($K$2),ISNUMBER($K$3),$K$3&gt;$K$2),(B194-$K$2)/($K$3-$K$2),"")</f>
        <v/>
      </c>
      <c r="D194" s="5">
        <f>IF(ISNUMBER(C194),IF(B194&lt;$K$3,LN(($K$3-$K$2)/($K$3-B194)),""),"")</f>
        <v/>
      </c>
      <c r="E194" s="5">
        <f>IF(AND(ISNUMBER(C194),ISNUMBER(D194),C194&gt;=0.2,C194&lt;=0.8),D194,"")</f>
        <v/>
      </c>
      <c r="F194" s="5">
        <f>IF(ISNUMBER(E194),A194,"")</f>
        <v/>
      </c>
      <c r="G194" s="5">
        <f>IF(AND(ISNUMBER(E194),ISNUMBER($K$4)),E194-($K$7+$K$4*A194),"")</f>
        <v/>
      </c>
    </row>
    <row r="195">
      <c r="A195" s="4" t="n"/>
      <c r="B195" s="4" t="n"/>
      <c r="C195" s="5">
        <f>IF(AND(ISNUMBER(A195),ISNUMBER(B195),ISNUMBER($K$2),ISNUMBER($K$3),$K$3&gt;$K$2),(B195-$K$2)/($K$3-$K$2),"")</f>
        <v/>
      </c>
      <c r="D195" s="5">
        <f>IF(ISNUMBER(C195),IF(B195&lt;$K$3,LN(($K$3-$K$2)/($K$3-B195)),""),"")</f>
        <v/>
      </c>
      <c r="E195" s="5">
        <f>IF(AND(ISNUMBER(C195),ISNUMBER(D195),C195&gt;=0.2,C195&lt;=0.8),D195,"")</f>
        <v/>
      </c>
      <c r="F195" s="5">
        <f>IF(ISNUMBER(E195),A195,"")</f>
        <v/>
      </c>
      <c r="G195" s="5">
        <f>IF(AND(ISNUMBER(E195),ISNUMBER($K$4)),E195-($K$7+$K$4*A195),"")</f>
        <v/>
      </c>
    </row>
    <row r="196">
      <c r="A196" s="4" t="n"/>
      <c r="B196" s="4" t="n"/>
      <c r="C196" s="5">
        <f>IF(AND(ISNUMBER(A196),ISNUMBER(B196),ISNUMBER($K$2),ISNUMBER($K$3),$K$3&gt;$K$2),(B196-$K$2)/($K$3-$K$2),"")</f>
        <v/>
      </c>
      <c r="D196" s="5">
        <f>IF(ISNUMBER(C196),IF(B196&lt;$K$3,LN(($K$3-$K$2)/($K$3-B196)),""),"")</f>
        <v/>
      </c>
      <c r="E196" s="5">
        <f>IF(AND(ISNUMBER(C196),ISNUMBER(D196),C196&gt;=0.2,C196&lt;=0.8),D196,"")</f>
        <v/>
      </c>
      <c r="F196" s="5">
        <f>IF(ISNUMBER(E196),A196,"")</f>
        <v/>
      </c>
      <c r="G196" s="5">
        <f>IF(AND(ISNUMBER(E196),ISNUMBER($K$4)),E196-($K$7+$K$4*A196),"")</f>
        <v/>
      </c>
    </row>
    <row r="197">
      <c r="A197" s="4" t="n"/>
      <c r="B197" s="4" t="n"/>
      <c r="C197" s="5">
        <f>IF(AND(ISNUMBER(A197),ISNUMBER(B197),ISNUMBER($K$2),ISNUMBER($K$3),$K$3&gt;$K$2),(B197-$K$2)/($K$3-$K$2),"")</f>
        <v/>
      </c>
      <c r="D197" s="5">
        <f>IF(ISNUMBER(C197),IF(B197&lt;$K$3,LN(($K$3-$K$2)/($K$3-B197)),""),"")</f>
        <v/>
      </c>
      <c r="E197" s="5">
        <f>IF(AND(ISNUMBER(C197),ISNUMBER(D197),C197&gt;=0.2,C197&lt;=0.8),D197,"")</f>
        <v/>
      </c>
      <c r="F197" s="5">
        <f>IF(ISNUMBER(E197),A197,"")</f>
        <v/>
      </c>
      <c r="G197" s="5">
        <f>IF(AND(ISNUMBER(E197),ISNUMBER($K$4)),E197-($K$7+$K$4*A197),"")</f>
        <v/>
      </c>
    </row>
    <row r="198">
      <c r="A198" s="4" t="n"/>
      <c r="B198" s="4" t="n"/>
      <c r="C198" s="5">
        <f>IF(AND(ISNUMBER(A198),ISNUMBER(B198),ISNUMBER($K$2),ISNUMBER($K$3),$K$3&gt;$K$2),(B198-$K$2)/($K$3-$K$2),"")</f>
        <v/>
      </c>
      <c r="D198" s="5">
        <f>IF(ISNUMBER(C198),IF(B198&lt;$K$3,LN(($K$3-$K$2)/($K$3-B198)),""),"")</f>
        <v/>
      </c>
      <c r="E198" s="5">
        <f>IF(AND(ISNUMBER(C198),ISNUMBER(D198),C198&gt;=0.2,C198&lt;=0.8),D198,"")</f>
        <v/>
      </c>
      <c r="F198" s="5">
        <f>IF(ISNUMBER(E198),A198,"")</f>
        <v/>
      </c>
      <c r="G198" s="5">
        <f>IF(AND(ISNUMBER(E198),ISNUMBER($K$4)),E198-($K$7+$K$4*A198),"")</f>
        <v/>
      </c>
    </row>
    <row r="199">
      <c r="A199" s="4" t="n"/>
      <c r="B199" s="4" t="n"/>
      <c r="C199" s="5">
        <f>IF(AND(ISNUMBER(A199),ISNUMBER(B199),ISNUMBER($K$2),ISNUMBER($K$3),$K$3&gt;$K$2),(B199-$K$2)/($K$3-$K$2),"")</f>
        <v/>
      </c>
      <c r="D199" s="5">
        <f>IF(ISNUMBER(C199),IF(B199&lt;$K$3,LN(($K$3-$K$2)/($K$3-B199)),""),"")</f>
        <v/>
      </c>
      <c r="E199" s="5">
        <f>IF(AND(ISNUMBER(C199),ISNUMBER(D199),C199&gt;=0.2,C199&lt;=0.8),D199,"")</f>
        <v/>
      </c>
      <c r="F199" s="5">
        <f>IF(ISNUMBER(E199),A199,"")</f>
        <v/>
      </c>
      <c r="G199" s="5">
        <f>IF(AND(ISNUMBER(E199),ISNUMBER($K$4)),E199-($K$7+$K$4*A199),"")</f>
        <v/>
      </c>
    </row>
    <row r="200">
      <c r="A200" s="4" t="n"/>
      <c r="B200" s="4" t="n"/>
      <c r="C200" s="5">
        <f>IF(AND(ISNUMBER(A200),ISNUMBER(B200),ISNUMBER($K$2),ISNUMBER($K$3),$K$3&gt;$K$2),(B200-$K$2)/($K$3-$K$2),"")</f>
        <v/>
      </c>
      <c r="D200" s="5">
        <f>IF(ISNUMBER(C200),IF(B200&lt;$K$3,LN(($K$3-$K$2)/($K$3-B200)),""),"")</f>
        <v/>
      </c>
      <c r="E200" s="5">
        <f>IF(AND(ISNUMBER(C200),ISNUMBER(D200),C200&gt;=0.2,C200&lt;=0.8),D200,"")</f>
        <v/>
      </c>
      <c r="F200" s="5">
        <f>IF(ISNUMBER(E200),A200,"")</f>
        <v/>
      </c>
      <c r="G200" s="5">
        <f>IF(AND(ISNUMBER(E200),ISNUMBER($K$4)),E200-($K$7+$K$4*A200),"")</f>
        <v/>
      </c>
    </row>
    <row r="201">
      <c r="A201" s="4" t="n"/>
      <c r="B201" s="4" t="n"/>
      <c r="C201" s="5">
        <f>IF(AND(ISNUMBER(A201),ISNUMBER(B201),ISNUMBER($K$2),ISNUMBER($K$3),$K$3&gt;$K$2),(B201-$K$2)/($K$3-$K$2),"")</f>
        <v/>
      </c>
      <c r="D201" s="5">
        <f>IF(ISNUMBER(C201),IF(B201&lt;$K$3,LN(($K$3-$K$2)/($K$3-B201)),""),"")</f>
        <v/>
      </c>
      <c r="E201" s="5">
        <f>IF(AND(ISNUMBER(C201),ISNUMBER(D201),C201&gt;=0.2,C201&lt;=0.8),D201,"")</f>
        <v/>
      </c>
      <c r="F201" s="5">
        <f>IF(ISNUMBER(E201),A201,"")</f>
        <v/>
      </c>
      <c r="G201" s="5">
        <f>IF(AND(ISNUMBER(E201),ISNUMBER($K$4)),E201-($K$7+$K$4*A201),"")</f>
        <v/>
      </c>
    </row>
    <row r="202">
      <c r="A202" s="4" t="n"/>
      <c r="B202" s="4" t="n"/>
      <c r="C202" s="5">
        <f>IF(AND(ISNUMBER(A202),ISNUMBER(B202),ISNUMBER($K$2),ISNUMBER($K$3),$K$3&gt;$K$2),(B202-$K$2)/($K$3-$K$2),"")</f>
        <v/>
      </c>
      <c r="D202" s="5">
        <f>IF(ISNUMBER(C202),IF(B202&lt;$K$3,LN(($K$3-$K$2)/($K$3-B202)),""),"")</f>
        <v/>
      </c>
      <c r="E202" s="5">
        <f>IF(AND(ISNUMBER(C202),ISNUMBER(D202),C202&gt;=0.2,C202&lt;=0.8),D202,"")</f>
        <v/>
      </c>
      <c r="F202" s="5">
        <f>IF(ISNUMBER(E202),A202,"")</f>
        <v/>
      </c>
      <c r="G202" s="5">
        <f>IF(AND(ISNUMBER(E202),ISNUMBER($K$4)),E202-($K$7+$K$4*A202),"")</f>
        <v/>
      </c>
    </row>
    <row r="203">
      <c r="A203" s="4" t="n"/>
      <c r="B203" s="4" t="n"/>
      <c r="C203" s="5">
        <f>IF(AND(ISNUMBER(A203),ISNUMBER(B203),ISNUMBER($K$2),ISNUMBER($K$3),$K$3&gt;$K$2),(B203-$K$2)/($K$3-$K$2),"")</f>
        <v/>
      </c>
      <c r="D203" s="5">
        <f>IF(ISNUMBER(C203),IF(B203&lt;$K$3,LN(($K$3-$K$2)/($K$3-B203)),""),"")</f>
        <v/>
      </c>
      <c r="E203" s="5">
        <f>IF(AND(ISNUMBER(C203),ISNUMBER(D203),C203&gt;=0.2,C203&lt;=0.8),D203,"")</f>
        <v/>
      </c>
      <c r="F203" s="5">
        <f>IF(ISNUMBER(E203),A203,"")</f>
        <v/>
      </c>
      <c r="G203" s="5">
        <f>IF(AND(ISNUMBER(E203),ISNUMBER($K$4)),E203-($K$7+$K$4*A203),"")</f>
        <v/>
      </c>
    </row>
    <row r="204">
      <c r="A204" s="4" t="n"/>
      <c r="B204" s="4" t="n"/>
      <c r="C204" s="5">
        <f>IF(AND(ISNUMBER(A204),ISNUMBER(B204),ISNUMBER($K$2),ISNUMBER($K$3),$K$3&gt;$K$2),(B204-$K$2)/($K$3-$K$2),"")</f>
        <v/>
      </c>
      <c r="D204" s="5">
        <f>IF(ISNUMBER(C204),IF(B204&lt;$K$3,LN(($K$3-$K$2)/($K$3-B204)),""),"")</f>
        <v/>
      </c>
      <c r="E204" s="5">
        <f>IF(AND(ISNUMBER(C204),ISNUMBER(D204),C204&gt;=0.2,C204&lt;=0.8),D204,"")</f>
        <v/>
      </c>
      <c r="F204" s="5">
        <f>IF(ISNUMBER(E204),A204,"")</f>
        <v/>
      </c>
      <c r="G204" s="5">
        <f>IF(AND(ISNUMBER(E204),ISNUMBER($K$4)),E204-($K$7+$K$4*A204),"")</f>
        <v/>
      </c>
    </row>
    <row r="205">
      <c r="A205" s="4" t="n"/>
      <c r="B205" s="4" t="n"/>
      <c r="C205" s="5">
        <f>IF(AND(ISNUMBER(A205),ISNUMBER(B205),ISNUMBER($K$2),ISNUMBER($K$3),$K$3&gt;$K$2),(B205-$K$2)/($K$3-$K$2),"")</f>
        <v/>
      </c>
      <c r="D205" s="5">
        <f>IF(ISNUMBER(C205),IF(B205&lt;$K$3,LN(($K$3-$K$2)/($K$3-B205)),""),"")</f>
        <v/>
      </c>
      <c r="E205" s="5">
        <f>IF(AND(ISNUMBER(C205),ISNUMBER(D205),C205&gt;=0.2,C205&lt;=0.8),D205,"")</f>
        <v/>
      </c>
      <c r="F205" s="5">
        <f>IF(ISNUMBER(E205),A205,"")</f>
        <v/>
      </c>
      <c r="G205" s="5">
        <f>IF(AND(ISNUMBER(E205),ISNUMBER($K$4)),E205-($K$7+$K$4*A205),"")</f>
        <v/>
      </c>
    </row>
    <row r="206">
      <c r="A206" s="4" t="n"/>
      <c r="B206" s="4" t="n"/>
      <c r="C206" s="5">
        <f>IF(AND(ISNUMBER(A206),ISNUMBER(B206),ISNUMBER($K$2),ISNUMBER($K$3),$K$3&gt;$K$2),(B206-$K$2)/($K$3-$K$2),"")</f>
        <v/>
      </c>
      <c r="D206" s="5">
        <f>IF(ISNUMBER(C206),IF(B206&lt;$K$3,LN(($K$3-$K$2)/($K$3-B206)),""),"")</f>
        <v/>
      </c>
      <c r="E206" s="5">
        <f>IF(AND(ISNUMBER(C206),ISNUMBER(D206),C206&gt;=0.2,C206&lt;=0.8),D206,"")</f>
        <v/>
      </c>
      <c r="F206" s="5">
        <f>IF(ISNUMBER(E206),A206,"")</f>
        <v/>
      </c>
      <c r="G206" s="5">
        <f>IF(AND(ISNUMBER(E206),ISNUMBER($K$4)),E206-($K$7+$K$4*A206),"")</f>
        <v/>
      </c>
    </row>
    <row r="207">
      <c r="A207" s="4" t="n"/>
      <c r="B207" s="4" t="n"/>
      <c r="C207" s="5">
        <f>IF(AND(ISNUMBER(A207),ISNUMBER(B207),ISNUMBER($K$2),ISNUMBER($K$3),$K$3&gt;$K$2),(B207-$K$2)/($K$3-$K$2),"")</f>
        <v/>
      </c>
      <c r="D207" s="5">
        <f>IF(ISNUMBER(C207),IF(B207&lt;$K$3,LN(($K$3-$K$2)/($K$3-B207)),""),"")</f>
        <v/>
      </c>
      <c r="E207" s="5">
        <f>IF(AND(ISNUMBER(C207),ISNUMBER(D207),C207&gt;=0.2,C207&lt;=0.8),D207,"")</f>
        <v/>
      </c>
      <c r="F207" s="5">
        <f>IF(ISNUMBER(E207),A207,"")</f>
        <v/>
      </c>
      <c r="G207" s="5">
        <f>IF(AND(ISNUMBER(E207),ISNUMBER($K$4)),E207-($K$7+$K$4*A207),"")</f>
        <v/>
      </c>
    </row>
    <row r="208">
      <c r="A208" s="4" t="n"/>
      <c r="B208" s="4" t="n"/>
      <c r="C208" s="5">
        <f>IF(AND(ISNUMBER(A208),ISNUMBER(B208),ISNUMBER($K$2),ISNUMBER($K$3),$K$3&gt;$K$2),(B208-$K$2)/($K$3-$K$2),"")</f>
        <v/>
      </c>
      <c r="D208" s="5">
        <f>IF(ISNUMBER(C208),IF(B208&lt;$K$3,LN(($K$3-$K$2)/($K$3-B208)),""),"")</f>
        <v/>
      </c>
      <c r="E208" s="5">
        <f>IF(AND(ISNUMBER(C208),ISNUMBER(D208),C208&gt;=0.2,C208&lt;=0.8),D208,"")</f>
        <v/>
      </c>
      <c r="F208" s="5">
        <f>IF(ISNUMBER(E208),A208,"")</f>
        <v/>
      </c>
      <c r="G208" s="5">
        <f>IF(AND(ISNUMBER(E208),ISNUMBER($K$4)),E208-($K$7+$K$4*A208),"")</f>
        <v/>
      </c>
    </row>
    <row r="209">
      <c r="A209" s="4" t="n"/>
      <c r="B209" s="4" t="n"/>
      <c r="C209" s="5">
        <f>IF(AND(ISNUMBER(A209),ISNUMBER(B209),ISNUMBER($K$2),ISNUMBER($K$3),$K$3&gt;$K$2),(B209-$K$2)/($K$3-$K$2),"")</f>
        <v/>
      </c>
      <c r="D209" s="5">
        <f>IF(ISNUMBER(C209),IF(B209&lt;$K$3,LN(($K$3-$K$2)/($K$3-B209)),""),"")</f>
        <v/>
      </c>
      <c r="E209" s="5">
        <f>IF(AND(ISNUMBER(C209),ISNUMBER(D209),C209&gt;=0.2,C209&lt;=0.8),D209,"")</f>
        <v/>
      </c>
      <c r="F209" s="5">
        <f>IF(ISNUMBER(E209),A209,"")</f>
        <v/>
      </c>
      <c r="G209" s="5">
        <f>IF(AND(ISNUMBER(E209),ISNUMBER($K$4)),E209-($K$7+$K$4*A209),"")</f>
        <v/>
      </c>
    </row>
    <row r="210">
      <c r="A210" s="4" t="n"/>
      <c r="B210" s="4" t="n"/>
      <c r="C210" s="5">
        <f>IF(AND(ISNUMBER(A210),ISNUMBER(B210),ISNUMBER($K$2),ISNUMBER($K$3),$K$3&gt;$K$2),(B210-$K$2)/($K$3-$K$2),"")</f>
        <v/>
      </c>
      <c r="D210" s="5">
        <f>IF(ISNUMBER(C210),IF(B210&lt;$K$3,LN(($K$3-$K$2)/($K$3-B210)),""),"")</f>
        <v/>
      </c>
      <c r="E210" s="5">
        <f>IF(AND(ISNUMBER(C210),ISNUMBER(D210),C210&gt;=0.2,C210&lt;=0.8),D210,"")</f>
        <v/>
      </c>
      <c r="F210" s="5">
        <f>IF(ISNUMBER(E210),A210,"")</f>
        <v/>
      </c>
      <c r="G210" s="5">
        <f>IF(AND(ISNUMBER(E210),ISNUMBER($K$4)),E210-($K$7+$K$4*A210),"")</f>
        <v/>
      </c>
    </row>
    <row r="211">
      <c r="A211" s="4" t="n"/>
      <c r="B211" s="4" t="n"/>
      <c r="C211" s="5">
        <f>IF(AND(ISNUMBER(A211),ISNUMBER(B211),ISNUMBER($K$2),ISNUMBER($K$3),$K$3&gt;$K$2),(B211-$K$2)/($K$3-$K$2),"")</f>
        <v/>
      </c>
      <c r="D211" s="5">
        <f>IF(ISNUMBER(C211),IF(B211&lt;$K$3,LN(($K$3-$K$2)/($K$3-B211)),""),"")</f>
        <v/>
      </c>
      <c r="E211" s="5">
        <f>IF(AND(ISNUMBER(C211),ISNUMBER(D211),C211&gt;=0.2,C211&lt;=0.8),D211,"")</f>
        <v/>
      </c>
      <c r="F211" s="5">
        <f>IF(ISNUMBER(E211),A211,"")</f>
        <v/>
      </c>
      <c r="G211" s="5">
        <f>IF(AND(ISNUMBER(E211),ISNUMBER($K$4)),E211-($K$7+$K$4*A211),"")</f>
        <v/>
      </c>
    </row>
    <row r="212">
      <c r="A212" s="4" t="n"/>
      <c r="B212" s="4" t="n"/>
      <c r="C212" s="5">
        <f>IF(AND(ISNUMBER(A212),ISNUMBER(B212),ISNUMBER($K$2),ISNUMBER($K$3),$K$3&gt;$K$2),(B212-$K$2)/($K$3-$K$2),"")</f>
        <v/>
      </c>
      <c r="D212" s="5">
        <f>IF(ISNUMBER(C212),IF(B212&lt;$K$3,LN(($K$3-$K$2)/($K$3-B212)),""),"")</f>
        <v/>
      </c>
      <c r="E212" s="5">
        <f>IF(AND(ISNUMBER(C212),ISNUMBER(D212),C212&gt;=0.2,C212&lt;=0.8),D212,"")</f>
        <v/>
      </c>
      <c r="F212" s="5">
        <f>IF(ISNUMBER(E212),A212,"")</f>
        <v/>
      </c>
      <c r="G212" s="5">
        <f>IF(AND(ISNUMBER(E212),ISNUMBER($K$4)),E212-($K$7+$K$4*A212),"")</f>
        <v/>
      </c>
    </row>
    <row r="213">
      <c r="A213" s="4" t="n"/>
      <c r="B213" s="4" t="n"/>
      <c r="C213" s="5">
        <f>IF(AND(ISNUMBER(A213),ISNUMBER(B213),ISNUMBER($K$2),ISNUMBER($K$3),$K$3&gt;$K$2),(B213-$K$2)/($K$3-$K$2),"")</f>
        <v/>
      </c>
      <c r="D213" s="5">
        <f>IF(ISNUMBER(C213),IF(B213&lt;$K$3,LN(($K$3-$K$2)/($K$3-B213)),""),"")</f>
        <v/>
      </c>
      <c r="E213" s="5">
        <f>IF(AND(ISNUMBER(C213),ISNUMBER(D213),C213&gt;=0.2,C213&lt;=0.8),D213,"")</f>
        <v/>
      </c>
      <c r="F213" s="5">
        <f>IF(ISNUMBER(E213),A213,"")</f>
        <v/>
      </c>
      <c r="G213" s="5">
        <f>IF(AND(ISNUMBER(E213),ISNUMBER($K$4)),E213-($K$7+$K$4*A213),"")</f>
        <v/>
      </c>
    </row>
    <row r="214">
      <c r="A214" s="4" t="n"/>
      <c r="B214" s="4" t="n"/>
      <c r="C214" s="5">
        <f>IF(AND(ISNUMBER(A214),ISNUMBER(B214),ISNUMBER($K$2),ISNUMBER($K$3),$K$3&gt;$K$2),(B214-$K$2)/($K$3-$K$2),"")</f>
        <v/>
      </c>
      <c r="D214" s="5">
        <f>IF(ISNUMBER(C214),IF(B214&lt;$K$3,LN(($K$3-$K$2)/($K$3-B214)),""),"")</f>
        <v/>
      </c>
      <c r="E214" s="5">
        <f>IF(AND(ISNUMBER(C214),ISNUMBER(D214),C214&gt;=0.2,C214&lt;=0.8),D214,"")</f>
        <v/>
      </c>
      <c r="F214" s="5">
        <f>IF(ISNUMBER(E214),A214,"")</f>
        <v/>
      </c>
      <c r="G214" s="5">
        <f>IF(AND(ISNUMBER(E214),ISNUMBER($K$4)),E214-($K$7+$K$4*A214),"")</f>
        <v/>
      </c>
    </row>
    <row r="215">
      <c r="A215" s="4" t="n"/>
      <c r="B215" s="4" t="n"/>
      <c r="C215" s="5">
        <f>IF(AND(ISNUMBER(A215),ISNUMBER(B215),ISNUMBER($K$2),ISNUMBER($K$3),$K$3&gt;$K$2),(B215-$K$2)/($K$3-$K$2),"")</f>
        <v/>
      </c>
      <c r="D215" s="5">
        <f>IF(ISNUMBER(C215),IF(B215&lt;$K$3,LN(($K$3-$K$2)/($K$3-B215)),""),"")</f>
        <v/>
      </c>
      <c r="E215" s="5">
        <f>IF(AND(ISNUMBER(C215),ISNUMBER(D215),C215&gt;=0.2,C215&lt;=0.8),D215,"")</f>
        <v/>
      </c>
      <c r="F215" s="5">
        <f>IF(ISNUMBER(E215),A215,"")</f>
        <v/>
      </c>
      <c r="G215" s="5">
        <f>IF(AND(ISNUMBER(E215),ISNUMBER($K$4)),E215-($K$7+$K$4*A215),"")</f>
        <v/>
      </c>
    </row>
    <row r="216">
      <c r="A216" s="4" t="n"/>
      <c r="B216" s="4" t="n"/>
      <c r="C216" s="5">
        <f>IF(AND(ISNUMBER(A216),ISNUMBER(B216),ISNUMBER($K$2),ISNUMBER($K$3),$K$3&gt;$K$2),(B216-$K$2)/($K$3-$K$2),"")</f>
        <v/>
      </c>
      <c r="D216" s="5">
        <f>IF(ISNUMBER(C216),IF(B216&lt;$K$3,LN(($K$3-$K$2)/($K$3-B216)),""),"")</f>
        <v/>
      </c>
      <c r="E216" s="5">
        <f>IF(AND(ISNUMBER(C216),ISNUMBER(D216),C216&gt;=0.2,C216&lt;=0.8),D216,"")</f>
        <v/>
      </c>
      <c r="F216" s="5">
        <f>IF(ISNUMBER(E216),A216,"")</f>
        <v/>
      </c>
      <c r="G216" s="5">
        <f>IF(AND(ISNUMBER(E216),ISNUMBER($K$4)),E216-($K$7+$K$4*A216),"")</f>
        <v/>
      </c>
    </row>
    <row r="217">
      <c r="A217" s="4" t="n"/>
      <c r="B217" s="4" t="n"/>
      <c r="C217" s="5">
        <f>IF(AND(ISNUMBER(A217),ISNUMBER(B217),ISNUMBER($K$2),ISNUMBER($K$3),$K$3&gt;$K$2),(B217-$K$2)/($K$3-$K$2),"")</f>
        <v/>
      </c>
      <c r="D217" s="5">
        <f>IF(ISNUMBER(C217),IF(B217&lt;$K$3,LN(($K$3-$K$2)/($K$3-B217)),""),"")</f>
        <v/>
      </c>
      <c r="E217" s="5">
        <f>IF(AND(ISNUMBER(C217),ISNUMBER(D217),C217&gt;=0.2,C217&lt;=0.8),D217,"")</f>
        <v/>
      </c>
      <c r="F217" s="5">
        <f>IF(ISNUMBER(E217),A217,"")</f>
        <v/>
      </c>
      <c r="G217" s="5">
        <f>IF(AND(ISNUMBER(E217),ISNUMBER($K$4)),E217-($K$7+$K$4*A217),"")</f>
        <v/>
      </c>
    </row>
    <row r="218">
      <c r="A218" s="4" t="n"/>
      <c r="B218" s="4" t="n"/>
      <c r="C218" s="5">
        <f>IF(AND(ISNUMBER(A218),ISNUMBER(B218),ISNUMBER($K$2),ISNUMBER($K$3),$K$3&gt;$K$2),(B218-$K$2)/($K$3-$K$2),"")</f>
        <v/>
      </c>
      <c r="D218" s="5">
        <f>IF(ISNUMBER(C218),IF(B218&lt;$K$3,LN(($K$3-$K$2)/($K$3-B218)),""),"")</f>
        <v/>
      </c>
      <c r="E218" s="5">
        <f>IF(AND(ISNUMBER(C218),ISNUMBER(D218),C218&gt;=0.2,C218&lt;=0.8),D218,"")</f>
        <v/>
      </c>
      <c r="F218" s="5">
        <f>IF(ISNUMBER(E218),A218,"")</f>
        <v/>
      </c>
      <c r="G218" s="5">
        <f>IF(AND(ISNUMBER(E218),ISNUMBER($K$4)),E218-($K$7+$K$4*A218),"")</f>
        <v/>
      </c>
    </row>
    <row r="219">
      <c r="A219" s="4" t="n"/>
      <c r="B219" s="4" t="n"/>
      <c r="C219" s="5">
        <f>IF(AND(ISNUMBER(A219),ISNUMBER(B219),ISNUMBER($K$2),ISNUMBER($K$3),$K$3&gt;$K$2),(B219-$K$2)/($K$3-$K$2),"")</f>
        <v/>
      </c>
      <c r="D219" s="5">
        <f>IF(ISNUMBER(C219),IF(B219&lt;$K$3,LN(($K$3-$K$2)/($K$3-B219)),""),"")</f>
        <v/>
      </c>
      <c r="E219" s="5">
        <f>IF(AND(ISNUMBER(C219),ISNUMBER(D219),C219&gt;=0.2,C219&lt;=0.8),D219,"")</f>
        <v/>
      </c>
      <c r="F219" s="5">
        <f>IF(ISNUMBER(E219),A219,"")</f>
        <v/>
      </c>
      <c r="G219" s="5">
        <f>IF(AND(ISNUMBER(E219),ISNUMBER($K$4)),E219-($K$7+$K$4*A219),"")</f>
        <v/>
      </c>
    </row>
    <row r="220">
      <c r="A220" s="4" t="n"/>
      <c r="B220" s="4" t="n"/>
      <c r="C220" s="5">
        <f>IF(AND(ISNUMBER(A220),ISNUMBER(B220),ISNUMBER($K$2),ISNUMBER($K$3),$K$3&gt;$K$2),(B220-$K$2)/($K$3-$K$2),"")</f>
        <v/>
      </c>
      <c r="D220" s="5">
        <f>IF(ISNUMBER(C220),IF(B220&lt;$K$3,LN(($K$3-$K$2)/($K$3-B220)),""),"")</f>
        <v/>
      </c>
      <c r="E220" s="5">
        <f>IF(AND(ISNUMBER(C220),ISNUMBER(D220),C220&gt;=0.2,C220&lt;=0.8),D220,"")</f>
        <v/>
      </c>
      <c r="F220" s="5">
        <f>IF(ISNUMBER(E220),A220,"")</f>
        <v/>
      </c>
      <c r="G220" s="5">
        <f>IF(AND(ISNUMBER(E220),ISNUMBER($K$4)),E220-($K$7+$K$4*A220),"")</f>
        <v/>
      </c>
    </row>
    <row r="221">
      <c r="A221" s="4" t="n"/>
      <c r="B221" s="4" t="n"/>
      <c r="C221" s="5">
        <f>IF(AND(ISNUMBER(A221),ISNUMBER(B221),ISNUMBER($K$2),ISNUMBER($K$3),$K$3&gt;$K$2),(B221-$K$2)/($K$3-$K$2),"")</f>
        <v/>
      </c>
      <c r="D221" s="5">
        <f>IF(ISNUMBER(C221),IF(B221&lt;$K$3,LN(($K$3-$K$2)/($K$3-B221)),""),"")</f>
        <v/>
      </c>
      <c r="E221" s="5">
        <f>IF(AND(ISNUMBER(C221),ISNUMBER(D221),C221&gt;=0.2,C221&lt;=0.8),D221,"")</f>
        <v/>
      </c>
      <c r="F221" s="5">
        <f>IF(ISNUMBER(E221),A221,"")</f>
        <v/>
      </c>
      <c r="G221" s="5">
        <f>IF(AND(ISNUMBER(E221),ISNUMBER($K$4)),E221-($K$7+$K$4*A221),"")</f>
        <v/>
      </c>
    </row>
    <row r="222">
      <c r="A222" s="4" t="n"/>
      <c r="B222" s="4" t="n"/>
      <c r="C222" s="5">
        <f>IF(AND(ISNUMBER(A222),ISNUMBER(B222),ISNUMBER($K$2),ISNUMBER($K$3),$K$3&gt;$K$2),(B222-$K$2)/($K$3-$K$2),"")</f>
        <v/>
      </c>
      <c r="D222" s="5">
        <f>IF(ISNUMBER(C222),IF(B222&lt;$K$3,LN(($K$3-$K$2)/($K$3-B222)),""),"")</f>
        <v/>
      </c>
      <c r="E222" s="5">
        <f>IF(AND(ISNUMBER(C222),ISNUMBER(D222),C222&gt;=0.2,C222&lt;=0.8),D222,"")</f>
        <v/>
      </c>
      <c r="F222" s="5">
        <f>IF(ISNUMBER(E222),A222,"")</f>
        <v/>
      </c>
      <c r="G222" s="5">
        <f>IF(AND(ISNUMBER(E222),ISNUMBER($K$4)),E222-($K$7+$K$4*A222),"")</f>
        <v/>
      </c>
    </row>
    <row r="223">
      <c r="A223" s="4" t="n"/>
      <c r="B223" s="4" t="n"/>
      <c r="C223" s="5">
        <f>IF(AND(ISNUMBER(A223),ISNUMBER(B223),ISNUMBER($K$2),ISNUMBER($K$3),$K$3&gt;$K$2),(B223-$K$2)/($K$3-$K$2),"")</f>
        <v/>
      </c>
      <c r="D223" s="5">
        <f>IF(ISNUMBER(C223),IF(B223&lt;$K$3,LN(($K$3-$K$2)/($K$3-B223)),""),"")</f>
        <v/>
      </c>
      <c r="E223" s="5">
        <f>IF(AND(ISNUMBER(C223),ISNUMBER(D223),C223&gt;=0.2,C223&lt;=0.8),D223,"")</f>
        <v/>
      </c>
      <c r="F223" s="5">
        <f>IF(ISNUMBER(E223),A223,"")</f>
        <v/>
      </c>
      <c r="G223" s="5">
        <f>IF(AND(ISNUMBER(E223),ISNUMBER($K$4)),E223-($K$7+$K$4*A223),"")</f>
        <v/>
      </c>
    </row>
    <row r="224">
      <c r="A224" s="4" t="n"/>
      <c r="B224" s="4" t="n"/>
      <c r="C224" s="5">
        <f>IF(AND(ISNUMBER(A224),ISNUMBER(B224),ISNUMBER($K$2),ISNUMBER($K$3),$K$3&gt;$K$2),(B224-$K$2)/($K$3-$K$2),"")</f>
        <v/>
      </c>
      <c r="D224" s="5">
        <f>IF(ISNUMBER(C224),IF(B224&lt;$K$3,LN(($K$3-$K$2)/($K$3-B224)),""),"")</f>
        <v/>
      </c>
      <c r="E224" s="5">
        <f>IF(AND(ISNUMBER(C224),ISNUMBER(D224),C224&gt;=0.2,C224&lt;=0.8),D224,"")</f>
        <v/>
      </c>
      <c r="F224" s="5">
        <f>IF(ISNUMBER(E224),A224,"")</f>
        <v/>
      </c>
      <c r="G224" s="5">
        <f>IF(AND(ISNUMBER(E224),ISNUMBER($K$4)),E224-($K$7+$K$4*A224),"")</f>
        <v/>
      </c>
    </row>
    <row r="225">
      <c r="A225" s="4" t="n"/>
      <c r="B225" s="4" t="n"/>
      <c r="C225" s="5">
        <f>IF(AND(ISNUMBER(A225),ISNUMBER(B225),ISNUMBER($K$2),ISNUMBER($K$3),$K$3&gt;$K$2),(B225-$K$2)/($K$3-$K$2),"")</f>
        <v/>
      </c>
      <c r="D225" s="5">
        <f>IF(ISNUMBER(C225),IF(B225&lt;$K$3,LN(($K$3-$K$2)/($K$3-B225)),""),"")</f>
        <v/>
      </c>
      <c r="E225" s="5">
        <f>IF(AND(ISNUMBER(C225),ISNUMBER(D225),C225&gt;=0.2,C225&lt;=0.8),D225,"")</f>
        <v/>
      </c>
      <c r="F225" s="5">
        <f>IF(ISNUMBER(E225),A225,"")</f>
        <v/>
      </c>
      <c r="G225" s="5">
        <f>IF(AND(ISNUMBER(E225),ISNUMBER($K$4)),E225-($K$7+$K$4*A225),"")</f>
        <v/>
      </c>
    </row>
    <row r="226">
      <c r="A226" s="4" t="n"/>
      <c r="B226" s="4" t="n"/>
      <c r="C226" s="5">
        <f>IF(AND(ISNUMBER(A226),ISNUMBER(B226),ISNUMBER($K$2),ISNUMBER($K$3),$K$3&gt;$K$2),(B226-$K$2)/($K$3-$K$2),"")</f>
        <v/>
      </c>
      <c r="D226" s="5">
        <f>IF(ISNUMBER(C226),IF(B226&lt;$K$3,LN(($K$3-$K$2)/($K$3-B226)),""),"")</f>
        <v/>
      </c>
      <c r="E226" s="5">
        <f>IF(AND(ISNUMBER(C226),ISNUMBER(D226),C226&gt;=0.2,C226&lt;=0.8),D226,"")</f>
        <v/>
      </c>
      <c r="F226" s="5">
        <f>IF(ISNUMBER(E226),A226,"")</f>
        <v/>
      </c>
      <c r="G226" s="5">
        <f>IF(AND(ISNUMBER(E226),ISNUMBER($K$4)),E226-($K$7+$K$4*A226),"")</f>
        <v/>
      </c>
    </row>
    <row r="227">
      <c r="A227" s="4" t="n"/>
      <c r="B227" s="4" t="n"/>
      <c r="C227" s="5">
        <f>IF(AND(ISNUMBER(A227),ISNUMBER(B227),ISNUMBER($K$2),ISNUMBER($K$3),$K$3&gt;$K$2),(B227-$K$2)/($K$3-$K$2),"")</f>
        <v/>
      </c>
      <c r="D227" s="5">
        <f>IF(ISNUMBER(C227),IF(B227&lt;$K$3,LN(($K$3-$K$2)/($K$3-B227)),""),"")</f>
        <v/>
      </c>
      <c r="E227" s="5">
        <f>IF(AND(ISNUMBER(C227),ISNUMBER(D227),C227&gt;=0.2,C227&lt;=0.8),D227,"")</f>
        <v/>
      </c>
      <c r="F227" s="5">
        <f>IF(ISNUMBER(E227),A227,"")</f>
        <v/>
      </c>
      <c r="G227" s="5">
        <f>IF(AND(ISNUMBER(E227),ISNUMBER($K$4)),E227-($K$7+$K$4*A227),"")</f>
        <v/>
      </c>
    </row>
    <row r="228">
      <c r="A228" s="4" t="n"/>
      <c r="B228" s="4" t="n"/>
      <c r="C228" s="5">
        <f>IF(AND(ISNUMBER(A228),ISNUMBER(B228),ISNUMBER($K$2),ISNUMBER($K$3),$K$3&gt;$K$2),(B228-$K$2)/($K$3-$K$2),"")</f>
        <v/>
      </c>
      <c r="D228" s="5">
        <f>IF(ISNUMBER(C228),IF(B228&lt;$K$3,LN(($K$3-$K$2)/($K$3-B228)),""),"")</f>
        <v/>
      </c>
      <c r="E228" s="5">
        <f>IF(AND(ISNUMBER(C228),ISNUMBER(D228),C228&gt;=0.2,C228&lt;=0.8),D228,"")</f>
        <v/>
      </c>
      <c r="F228" s="5">
        <f>IF(ISNUMBER(E228),A228,"")</f>
        <v/>
      </c>
      <c r="G228" s="5">
        <f>IF(AND(ISNUMBER(E228),ISNUMBER($K$4)),E228-($K$7+$K$4*A228),"")</f>
        <v/>
      </c>
    </row>
    <row r="229">
      <c r="A229" s="4" t="n"/>
      <c r="B229" s="4" t="n"/>
      <c r="C229" s="5">
        <f>IF(AND(ISNUMBER(A229),ISNUMBER(B229),ISNUMBER($K$2),ISNUMBER($K$3),$K$3&gt;$K$2),(B229-$K$2)/($K$3-$K$2),"")</f>
        <v/>
      </c>
      <c r="D229" s="5">
        <f>IF(ISNUMBER(C229),IF(B229&lt;$K$3,LN(($K$3-$K$2)/($K$3-B229)),""),"")</f>
        <v/>
      </c>
      <c r="E229" s="5">
        <f>IF(AND(ISNUMBER(C229),ISNUMBER(D229),C229&gt;=0.2,C229&lt;=0.8),D229,"")</f>
        <v/>
      </c>
      <c r="F229" s="5">
        <f>IF(ISNUMBER(E229),A229,"")</f>
        <v/>
      </c>
      <c r="G229" s="5">
        <f>IF(AND(ISNUMBER(E229),ISNUMBER($K$4)),E229-($K$7+$K$4*A229),"")</f>
        <v/>
      </c>
    </row>
    <row r="230">
      <c r="A230" s="4" t="n"/>
      <c r="B230" s="4" t="n"/>
      <c r="C230" s="5">
        <f>IF(AND(ISNUMBER(A230),ISNUMBER(B230),ISNUMBER($K$2),ISNUMBER($K$3),$K$3&gt;$K$2),(B230-$K$2)/($K$3-$K$2),"")</f>
        <v/>
      </c>
      <c r="D230" s="5">
        <f>IF(ISNUMBER(C230),IF(B230&lt;$K$3,LN(($K$3-$K$2)/($K$3-B230)),""),"")</f>
        <v/>
      </c>
      <c r="E230" s="5">
        <f>IF(AND(ISNUMBER(C230),ISNUMBER(D230),C230&gt;=0.2,C230&lt;=0.8),D230,"")</f>
        <v/>
      </c>
      <c r="F230" s="5">
        <f>IF(ISNUMBER(E230),A230,"")</f>
        <v/>
      </c>
      <c r="G230" s="5">
        <f>IF(AND(ISNUMBER(E230),ISNUMBER($K$4)),E230-($K$7+$K$4*A230),"")</f>
        <v/>
      </c>
    </row>
    <row r="231">
      <c r="A231" s="4" t="n"/>
      <c r="B231" s="4" t="n"/>
      <c r="C231" s="5">
        <f>IF(AND(ISNUMBER(A231),ISNUMBER(B231),ISNUMBER($K$2),ISNUMBER($K$3),$K$3&gt;$K$2),(B231-$K$2)/($K$3-$K$2),"")</f>
        <v/>
      </c>
      <c r="D231" s="5">
        <f>IF(ISNUMBER(C231),IF(B231&lt;$K$3,LN(($K$3-$K$2)/($K$3-B231)),""),"")</f>
        <v/>
      </c>
      <c r="E231" s="5">
        <f>IF(AND(ISNUMBER(C231),ISNUMBER(D231),C231&gt;=0.2,C231&lt;=0.8),D231,"")</f>
        <v/>
      </c>
      <c r="F231" s="5">
        <f>IF(ISNUMBER(E231),A231,"")</f>
        <v/>
      </c>
      <c r="G231" s="5">
        <f>IF(AND(ISNUMBER(E231),ISNUMBER($K$4)),E231-($K$7+$K$4*A231),"")</f>
        <v/>
      </c>
    </row>
    <row r="232">
      <c r="A232" s="4" t="n"/>
      <c r="B232" s="4" t="n"/>
      <c r="C232" s="5">
        <f>IF(AND(ISNUMBER(A232),ISNUMBER(B232),ISNUMBER($K$2),ISNUMBER($K$3),$K$3&gt;$K$2),(B232-$K$2)/($K$3-$K$2),"")</f>
        <v/>
      </c>
      <c r="D232" s="5">
        <f>IF(ISNUMBER(C232),IF(B232&lt;$K$3,LN(($K$3-$K$2)/($K$3-B232)),""),"")</f>
        <v/>
      </c>
      <c r="E232" s="5">
        <f>IF(AND(ISNUMBER(C232),ISNUMBER(D232),C232&gt;=0.2,C232&lt;=0.8),D232,"")</f>
        <v/>
      </c>
      <c r="F232" s="5">
        <f>IF(ISNUMBER(E232),A232,"")</f>
        <v/>
      </c>
      <c r="G232" s="5">
        <f>IF(AND(ISNUMBER(E232),ISNUMBER($K$4)),E232-($K$7+$K$4*A232),"")</f>
        <v/>
      </c>
    </row>
    <row r="233">
      <c r="A233" s="4" t="n"/>
      <c r="B233" s="4" t="n"/>
      <c r="C233" s="5">
        <f>IF(AND(ISNUMBER(A233),ISNUMBER(B233),ISNUMBER($K$2),ISNUMBER($K$3),$K$3&gt;$K$2),(B233-$K$2)/($K$3-$K$2),"")</f>
        <v/>
      </c>
      <c r="D233" s="5">
        <f>IF(ISNUMBER(C233),IF(B233&lt;$K$3,LN(($K$3-$K$2)/($K$3-B233)),""),"")</f>
        <v/>
      </c>
      <c r="E233" s="5">
        <f>IF(AND(ISNUMBER(C233),ISNUMBER(D233),C233&gt;=0.2,C233&lt;=0.8),D233,"")</f>
        <v/>
      </c>
      <c r="F233" s="5">
        <f>IF(ISNUMBER(E233),A233,"")</f>
        <v/>
      </c>
      <c r="G233" s="5">
        <f>IF(AND(ISNUMBER(E233),ISNUMBER($K$4)),E233-($K$7+$K$4*A233),"")</f>
        <v/>
      </c>
    </row>
    <row r="234">
      <c r="A234" s="4" t="n"/>
      <c r="B234" s="4" t="n"/>
      <c r="C234" s="5">
        <f>IF(AND(ISNUMBER(A234),ISNUMBER(B234),ISNUMBER($K$2),ISNUMBER($K$3),$K$3&gt;$K$2),(B234-$K$2)/($K$3-$K$2),"")</f>
        <v/>
      </c>
      <c r="D234" s="5">
        <f>IF(ISNUMBER(C234),IF(B234&lt;$K$3,LN(($K$3-$K$2)/($K$3-B234)),""),"")</f>
        <v/>
      </c>
      <c r="E234" s="5">
        <f>IF(AND(ISNUMBER(C234),ISNUMBER(D234),C234&gt;=0.2,C234&lt;=0.8),D234,"")</f>
        <v/>
      </c>
      <c r="F234" s="5">
        <f>IF(ISNUMBER(E234),A234,"")</f>
        <v/>
      </c>
      <c r="G234" s="5">
        <f>IF(AND(ISNUMBER(E234),ISNUMBER($K$4)),E234-($K$7+$K$4*A234),"")</f>
        <v/>
      </c>
    </row>
    <row r="235">
      <c r="A235" s="4" t="n"/>
      <c r="B235" s="4" t="n"/>
      <c r="C235" s="5">
        <f>IF(AND(ISNUMBER(A235),ISNUMBER(B235),ISNUMBER($K$2),ISNUMBER($K$3),$K$3&gt;$K$2),(B235-$K$2)/($K$3-$K$2),"")</f>
        <v/>
      </c>
      <c r="D235" s="5">
        <f>IF(ISNUMBER(C235),IF(B235&lt;$K$3,LN(($K$3-$K$2)/($K$3-B235)),""),"")</f>
        <v/>
      </c>
      <c r="E235" s="5">
        <f>IF(AND(ISNUMBER(C235),ISNUMBER(D235),C235&gt;=0.2,C235&lt;=0.8),D235,"")</f>
        <v/>
      </c>
      <c r="F235" s="5">
        <f>IF(ISNUMBER(E235),A235,"")</f>
        <v/>
      </c>
      <c r="G235" s="5">
        <f>IF(AND(ISNUMBER(E235),ISNUMBER($K$4)),E235-($K$7+$K$4*A235),"")</f>
        <v/>
      </c>
    </row>
    <row r="236">
      <c r="A236" s="4" t="n"/>
      <c r="B236" s="4" t="n"/>
      <c r="C236" s="5">
        <f>IF(AND(ISNUMBER(A236),ISNUMBER(B236),ISNUMBER($K$2),ISNUMBER($K$3),$K$3&gt;$K$2),(B236-$K$2)/($K$3-$K$2),"")</f>
        <v/>
      </c>
      <c r="D236" s="5">
        <f>IF(ISNUMBER(C236),IF(B236&lt;$K$3,LN(($K$3-$K$2)/($K$3-B236)),""),"")</f>
        <v/>
      </c>
      <c r="E236" s="5">
        <f>IF(AND(ISNUMBER(C236),ISNUMBER(D236),C236&gt;=0.2,C236&lt;=0.8),D236,"")</f>
        <v/>
      </c>
      <c r="F236" s="5">
        <f>IF(ISNUMBER(E236),A236,"")</f>
        <v/>
      </c>
      <c r="G236" s="5">
        <f>IF(AND(ISNUMBER(E236),ISNUMBER($K$4)),E236-($K$7+$K$4*A236),"")</f>
        <v/>
      </c>
    </row>
    <row r="237">
      <c r="A237" s="4" t="n"/>
      <c r="B237" s="4" t="n"/>
      <c r="C237" s="5">
        <f>IF(AND(ISNUMBER(A237),ISNUMBER(B237),ISNUMBER($K$2),ISNUMBER($K$3),$K$3&gt;$K$2),(B237-$K$2)/($K$3-$K$2),"")</f>
        <v/>
      </c>
      <c r="D237" s="5">
        <f>IF(ISNUMBER(C237),IF(B237&lt;$K$3,LN(($K$3-$K$2)/($K$3-B237)),""),"")</f>
        <v/>
      </c>
      <c r="E237" s="5">
        <f>IF(AND(ISNUMBER(C237),ISNUMBER(D237),C237&gt;=0.2,C237&lt;=0.8),D237,"")</f>
        <v/>
      </c>
      <c r="F237" s="5">
        <f>IF(ISNUMBER(E237),A237,"")</f>
        <v/>
      </c>
      <c r="G237" s="5">
        <f>IF(AND(ISNUMBER(E237),ISNUMBER($K$4)),E237-($K$7+$K$4*A237),"")</f>
        <v/>
      </c>
    </row>
    <row r="238">
      <c r="A238" s="4" t="n"/>
      <c r="B238" s="4" t="n"/>
      <c r="C238" s="5">
        <f>IF(AND(ISNUMBER(A238),ISNUMBER(B238),ISNUMBER($K$2),ISNUMBER($K$3),$K$3&gt;$K$2),(B238-$K$2)/($K$3-$K$2),"")</f>
        <v/>
      </c>
      <c r="D238" s="5">
        <f>IF(ISNUMBER(C238),IF(B238&lt;$K$3,LN(($K$3-$K$2)/($K$3-B238)),""),"")</f>
        <v/>
      </c>
      <c r="E238" s="5">
        <f>IF(AND(ISNUMBER(C238),ISNUMBER(D238),C238&gt;=0.2,C238&lt;=0.8),D238,"")</f>
        <v/>
      </c>
      <c r="F238" s="5">
        <f>IF(ISNUMBER(E238),A238,"")</f>
        <v/>
      </c>
      <c r="G238" s="5">
        <f>IF(AND(ISNUMBER(E238),ISNUMBER($K$4)),E238-($K$7+$K$4*A238),"")</f>
        <v/>
      </c>
    </row>
    <row r="239">
      <c r="A239" s="4" t="n"/>
      <c r="B239" s="4" t="n"/>
      <c r="C239" s="5">
        <f>IF(AND(ISNUMBER(A239),ISNUMBER(B239),ISNUMBER($K$2),ISNUMBER($K$3),$K$3&gt;$K$2),(B239-$K$2)/($K$3-$K$2),"")</f>
        <v/>
      </c>
      <c r="D239" s="5">
        <f>IF(ISNUMBER(C239),IF(B239&lt;$K$3,LN(($K$3-$K$2)/($K$3-B239)),""),"")</f>
        <v/>
      </c>
      <c r="E239" s="5">
        <f>IF(AND(ISNUMBER(C239),ISNUMBER(D239),C239&gt;=0.2,C239&lt;=0.8),D239,"")</f>
        <v/>
      </c>
      <c r="F239" s="5">
        <f>IF(ISNUMBER(E239),A239,"")</f>
        <v/>
      </c>
      <c r="G239" s="5">
        <f>IF(AND(ISNUMBER(E239),ISNUMBER($K$4)),E239-($K$7+$K$4*A239),"")</f>
        <v/>
      </c>
    </row>
    <row r="240">
      <c r="A240" s="4" t="n"/>
      <c r="B240" s="4" t="n"/>
      <c r="C240" s="5">
        <f>IF(AND(ISNUMBER(A240),ISNUMBER(B240),ISNUMBER($K$2),ISNUMBER($K$3),$K$3&gt;$K$2),(B240-$K$2)/($K$3-$K$2),"")</f>
        <v/>
      </c>
      <c r="D240" s="5">
        <f>IF(ISNUMBER(C240),IF(B240&lt;$K$3,LN(($K$3-$K$2)/($K$3-B240)),""),"")</f>
        <v/>
      </c>
      <c r="E240" s="5">
        <f>IF(AND(ISNUMBER(C240),ISNUMBER(D240),C240&gt;=0.2,C240&lt;=0.8),D240,"")</f>
        <v/>
      </c>
      <c r="F240" s="5">
        <f>IF(ISNUMBER(E240),A240,"")</f>
        <v/>
      </c>
      <c r="G240" s="5">
        <f>IF(AND(ISNUMBER(E240),ISNUMBER($K$4)),E240-($K$7+$K$4*A240),"")</f>
        <v/>
      </c>
    </row>
    <row r="241">
      <c r="A241" s="4" t="n"/>
      <c r="B241" s="4" t="n"/>
      <c r="C241" s="5">
        <f>IF(AND(ISNUMBER(A241),ISNUMBER(B241),ISNUMBER($K$2),ISNUMBER($K$3),$K$3&gt;$K$2),(B241-$K$2)/($K$3-$K$2),"")</f>
        <v/>
      </c>
      <c r="D241" s="5">
        <f>IF(ISNUMBER(C241),IF(B241&lt;$K$3,LN(($K$3-$K$2)/($K$3-B241)),""),"")</f>
        <v/>
      </c>
      <c r="E241" s="5">
        <f>IF(AND(ISNUMBER(C241),ISNUMBER(D241),C241&gt;=0.2,C241&lt;=0.8),D241,"")</f>
        <v/>
      </c>
      <c r="F241" s="5">
        <f>IF(ISNUMBER(E241),A241,"")</f>
        <v/>
      </c>
      <c r="G241" s="5">
        <f>IF(AND(ISNUMBER(E241),ISNUMBER($K$4)),E241-($K$7+$K$4*A241),"")</f>
        <v/>
      </c>
    </row>
    <row r="242">
      <c r="A242" s="4" t="n"/>
      <c r="B242" s="4" t="n"/>
      <c r="C242" s="5">
        <f>IF(AND(ISNUMBER(A242),ISNUMBER(B242),ISNUMBER($K$2),ISNUMBER($K$3),$K$3&gt;$K$2),(B242-$K$2)/($K$3-$K$2),"")</f>
        <v/>
      </c>
      <c r="D242" s="5">
        <f>IF(ISNUMBER(C242),IF(B242&lt;$K$3,LN(($K$3-$K$2)/($K$3-B242)),""),"")</f>
        <v/>
      </c>
      <c r="E242" s="5">
        <f>IF(AND(ISNUMBER(C242),ISNUMBER(D242),C242&gt;=0.2,C242&lt;=0.8),D242,"")</f>
        <v/>
      </c>
      <c r="F242" s="5">
        <f>IF(ISNUMBER(E242),A242,"")</f>
        <v/>
      </c>
      <c r="G242" s="5">
        <f>IF(AND(ISNUMBER(E242),ISNUMBER($K$4)),E242-($K$7+$K$4*A242),"")</f>
        <v/>
      </c>
    </row>
    <row r="243">
      <c r="A243" s="4" t="n"/>
      <c r="B243" s="4" t="n"/>
      <c r="C243" s="5">
        <f>IF(AND(ISNUMBER(A243),ISNUMBER(B243),ISNUMBER($K$2),ISNUMBER($K$3),$K$3&gt;$K$2),(B243-$K$2)/($K$3-$K$2),"")</f>
        <v/>
      </c>
      <c r="D243" s="5">
        <f>IF(ISNUMBER(C243),IF(B243&lt;$K$3,LN(($K$3-$K$2)/($K$3-B243)),""),"")</f>
        <v/>
      </c>
      <c r="E243" s="5">
        <f>IF(AND(ISNUMBER(C243),ISNUMBER(D243),C243&gt;=0.2,C243&lt;=0.8),D243,"")</f>
        <v/>
      </c>
      <c r="F243" s="5">
        <f>IF(ISNUMBER(E243),A243,"")</f>
        <v/>
      </c>
      <c r="G243" s="5">
        <f>IF(AND(ISNUMBER(E243),ISNUMBER($K$4)),E243-($K$7+$K$4*A243),"")</f>
        <v/>
      </c>
    </row>
    <row r="244">
      <c r="A244" s="4" t="n"/>
      <c r="B244" s="4" t="n"/>
      <c r="C244" s="5">
        <f>IF(AND(ISNUMBER(A244),ISNUMBER(B244),ISNUMBER($K$2),ISNUMBER($K$3),$K$3&gt;$K$2),(B244-$K$2)/($K$3-$K$2),"")</f>
        <v/>
      </c>
      <c r="D244" s="5">
        <f>IF(ISNUMBER(C244),IF(B244&lt;$K$3,LN(($K$3-$K$2)/($K$3-B244)),""),"")</f>
        <v/>
      </c>
      <c r="E244" s="5">
        <f>IF(AND(ISNUMBER(C244),ISNUMBER(D244),C244&gt;=0.2,C244&lt;=0.8),D244,"")</f>
        <v/>
      </c>
      <c r="F244" s="5">
        <f>IF(ISNUMBER(E244),A244,"")</f>
        <v/>
      </c>
      <c r="G244" s="5">
        <f>IF(AND(ISNUMBER(E244),ISNUMBER($K$4)),E244-($K$7+$K$4*A244),"")</f>
        <v/>
      </c>
    </row>
    <row r="245">
      <c r="A245" s="4" t="n"/>
      <c r="B245" s="4" t="n"/>
      <c r="C245" s="5">
        <f>IF(AND(ISNUMBER(A245),ISNUMBER(B245),ISNUMBER($K$2),ISNUMBER($K$3),$K$3&gt;$K$2),(B245-$K$2)/($K$3-$K$2),"")</f>
        <v/>
      </c>
      <c r="D245" s="5">
        <f>IF(ISNUMBER(C245),IF(B245&lt;$K$3,LN(($K$3-$K$2)/($K$3-B245)),""),"")</f>
        <v/>
      </c>
      <c r="E245" s="5">
        <f>IF(AND(ISNUMBER(C245),ISNUMBER(D245),C245&gt;=0.2,C245&lt;=0.8),D245,"")</f>
        <v/>
      </c>
      <c r="F245" s="5">
        <f>IF(ISNUMBER(E245),A245,"")</f>
        <v/>
      </c>
      <c r="G245" s="5">
        <f>IF(AND(ISNUMBER(E245),ISNUMBER($K$4)),E245-($K$7+$K$4*A245),"")</f>
        <v/>
      </c>
    </row>
    <row r="246">
      <c r="A246" s="4" t="n"/>
      <c r="B246" s="4" t="n"/>
      <c r="C246" s="5">
        <f>IF(AND(ISNUMBER(A246),ISNUMBER(B246),ISNUMBER($K$2),ISNUMBER($K$3),$K$3&gt;$K$2),(B246-$K$2)/($K$3-$K$2),"")</f>
        <v/>
      </c>
      <c r="D246" s="5">
        <f>IF(ISNUMBER(C246),IF(B246&lt;$K$3,LN(($K$3-$K$2)/($K$3-B246)),""),"")</f>
        <v/>
      </c>
      <c r="E246" s="5">
        <f>IF(AND(ISNUMBER(C246),ISNUMBER(D246),C246&gt;=0.2,C246&lt;=0.8),D246,"")</f>
        <v/>
      </c>
      <c r="F246" s="5">
        <f>IF(ISNUMBER(E246),A246,"")</f>
        <v/>
      </c>
      <c r="G246" s="5">
        <f>IF(AND(ISNUMBER(E246),ISNUMBER($K$4)),E246-($K$7+$K$4*A246),"")</f>
        <v/>
      </c>
    </row>
    <row r="247">
      <c r="A247" s="4" t="n"/>
      <c r="B247" s="4" t="n"/>
      <c r="C247" s="5">
        <f>IF(AND(ISNUMBER(A247),ISNUMBER(B247),ISNUMBER($K$2),ISNUMBER($K$3),$K$3&gt;$K$2),(B247-$K$2)/($K$3-$K$2),"")</f>
        <v/>
      </c>
      <c r="D247" s="5">
        <f>IF(ISNUMBER(C247),IF(B247&lt;$K$3,LN(($K$3-$K$2)/($K$3-B247)),""),"")</f>
        <v/>
      </c>
      <c r="E247" s="5">
        <f>IF(AND(ISNUMBER(C247),ISNUMBER(D247),C247&gt;=0.2,C247&lt;=0.8),D247,"")</f>
        <v/>
      </c>
      <c r="F247" s="5">
        <f>IF(ISNUMBER(E247),A247,"")</f>
        <v/>
      </c>
      <c r="G247" s="5">
        <f>IF(AND(ISNUMBER(E247),ISNUMBER($K$4)),E247-($K$7+$K$4*A247),"")</f>
        <v/>
      </c>
    </row>
    <row r="248">
      <c r="A248" s="4" t="n"/>
      <c r="B248" s="4" t="n"/>
      <c r="C248" s="5">
        <f>IF(AND(ISNUMBER(A248),ISNUMBER(B248),ISNUMBER($K$2),ISNUMBER($K$3),$K$3&gt;$K$2),(B248-$K$2)/($K$3-$K$2),"")</f>
        <v/>
      </c>
      <c r="D248" s="5">
        <f>IF(ISNUMBER(C248),IF(B248&lt;$K$3,LN(($K$3-$K$2)/($K$3-B248)),""),"")</f>
        <v/>
      </c>
      <c r="E248" s="5">
        <f>IF(AND(ISNUMBER(C248),ISNUMBER(D248),C248&gt;=0.2,C248&lt;=0.8),D248,"")</f>
        <v/>
      </c>
      <c r="F248" s="5">
        <f>IF(ISNUMBER(E248),A248,"")</f>
        <v/>
      </c>
      <c r="G248" s="5">
        <f>IF(AND(ISNUMBER(E248),ISNUMBER($K$4)),E248-($K$7+$K$4*A248),"")</f>
        <v/>
      </c>
    </row>
    <row r="249">
      <c r="A249" s="4" t="n"/>
      <c r="B249" s="4" t="n"/>
      <c r="C249" s="5">
        <f>IF(AND(ISNUMBER(A249),ISNUMBER(B249),ISNUMBER($K$2),ISNUMBER($K$3),$K$3&gt;$K$2),(B249-$K$2)/($K$3-$K$2),"")</f>
        <v/>
      </c>
      <c r="D249" s="5">
        <f>IF(ISNUMBER(C249),IF(B249&lt;$K$3,LN(($K$3-$K$2)/($K$3-B249)),""),"")</f>
        <v/>
      </c>
      <c r="E249" s="5">
        <f>IF(AND(ISNUMBER(C249),ISNUMBER(D249),C249&gt;=0.2,C249&lt;=0.8),D249,"")</f>
        <v/>
      </c>
      <c r="F249" s="5">
        <f>IF(ISNUMBER(E249),A249,"")</f>
        <v/>
      </c>
      <c r="G249" s="5">
        <f>IF(AND(ISNUMBER(E249),ISNUMBER($K$4)),E249-($K$7+$K$4*A249),"")</f>
        <v/>
      </c>
    </row>
    <row r="250">
      <c r="A250" s="4" t="n"/>
      <c r="B250" s="4" t="n"/>
      <c r="C250" s="5">
        <f>IF(AND(ISNUMBER(A250),ISNUMBER(B250),ISNUMBER($K$2),ISNUMBER($K$3),$K$3&gt;$K$2),(B250-$K$2)/($K$3-$K$2),"")</f>
        <v/>
      </c>
      <c r="D250" s="5">
        <f>IF(ISNUMBER(C250),IF(B250&lt;$K$3,LN(($K$3-$K$2)/($K$3-B250)),""),"")</f>
        <v/>
      </c>
      <c r="E250" s="5">
        <f>IF(AND(ISNUMBER(C250),ISNUMBER(D250),C250&gt;=0.2,C250&lt;=0.8),D250,"")</f>
        <v/>
      </c>
      <c r="F250" s="5">
        <f>IF(ISNUMBER(E250),A250,"")</f>
        <v/>
      </c>
      <c r="G250" s="5">
        <f>IF(AND(ISNUMBER(E250),ISNUMBER($K$4)),E250-($K$7+$K$4*A250),"")</f>
        <v/>
      </c>
    </row>
    <row r="251">
      <c r="A251" s="4" t="n"/>
      <c r="B251" s="4" t="n"/>
      <c r="C251" s="5">
        <f>IF(AND(ISNUMBER(A251),ISNUMBER(B251),ISNUMBER($K$2),ISNUMBER($K$3),$K$3&gt;$K$2),(B251-$K$2)/($K$3-$K$2),"")</f>
        <v/>
      </c>
      <c r="D251" s="5">
        <f>IF(ISNUMBER(C251),IF(B251&lt;$K$3,LN(($K$3-$K$2)/($K$3-B251)),""),"")</f>
        <v/>
      </c>
      <c r="E251" s="5">
        <f>IF(AND(ISNUMBER(C251),ISNUMBER(D251),C251&gt;=0.2,C251&lt;=0.8),D251,"")</f>
        <v/>
      </c>
      <c r="F251" s="5">
        <f>IF(ISNUMBER(E251),A251,"")</f>
        <v/>
      </c>
      <c r="G251" s="5">
        <f>IF(AND(ISNUMBER(E251),ISNUMBER($K$4)),E251-($K$7+$K$4*A251),"")</f>
        <v/>
      </c>
    </row>
    <row r="252">
      <c r="A252" s="4" t="n"/>
      <c r="B252" s="4" t="n"/>
      <c r="C252" s="5">
        <f>IF(AND(ISNUMBER(A252),ISNUMBER(B252),ISNUMBER($K$2),ISNUMBER($K$3),$K$3&gt;$K$2),(B252-$K$2)/($K$3-$K$2),"")</f>
        <v/>
      </c>
      <c r="D252" s="5">
        <f>IF(ISNUMBER(C252),IF(B252&lt;$K$3,LN(($K$3-$K$2)/($K$3-B252)),""),"")</f>
        <v/>
      </c>
      <c r="E252" s="5">
        <f>IF(AND(ISNUMBER(C252),ISNUMBER(D252),C252&gt;=0.2,C252&lt;=0.8),D252,"")</f>
        <v/>
      </c>
      <c r="F252" s="5">
        <f>IF(ISNUMBER(E252),A252,"")</f>
        <v/>
      </c>
      <c r="G252" s="5">
        <f>IF(AND(ISNUMBER(E252),ISNUMBER($K$4)),E252-($K$7+$K$4*A252),"")</f>
        <v/>
      </c>
    </row>
    <row r="253">
      <c r="A253" s="4" t="n"/>
      <c r="B253" s="4" t="n"/>
      <c r="C253" s="5">
        <f>IF(AND(ISNUMBER(A253),ISNUMBER(B253),ISNUMBER($K$2),ISNUMBER($K$3),$K$3&gt;$K$2),(B253-$K$2)/($K$3-$K$2),"")</f>
        <v/>
      </c>
      <c r="D253" s="5">
        <f>IF(ISNUMBER(C253),IF(B253&lt;$K$3,LN(($K$3-$K$2)/($K$3-B253)),""),"")</f>
        <v/>
      </c>
      <c r="E253" s="5">
        <f>IF(AND(ISNUMBER(C253),ISNUMBER(D253),C253&gt;=0.2,C253&lt;=0.8),D253,"")</f>
        <v/>
      </c>
      <c r="F253" s="5">
        <f>IF(ISNUMBER(E253),A253,"")</f>
        <v/>
      </c>
      <c r="G253" s="5">
        <f>IF(AND(ISNUMBER(E253),ISNUMBER($K$4)),E253-($K$7+$K$4*A253),"")</f>
        <v/>
      </c>
    </row>
    <row r="254">
      <c r="A254" s="4" t="n"/>
      <c r="B254" s="4" t="n"/>
      <c r="C254" s="5">
        <f>IF(AND(ISNUMBER(A254),ISNUMBER(B254),ISNUMBER($K$2),ISNUMBER($K$3),$K$3&gt;$K$2),(B254-$K$2)/($K$3-$K$2),"")</f>
        <v/>
      </c>
      <c r="D254" s="5">
        <f>IF(ISNUMBER(C254),IF(B254&lt;$K$3,LN(($K$3-$K$2)/($K$3-B254)),""),"")</f>
        <v/>
      </c>
      <c r="E254" s="5">
        <f>IF(AND(ISNUMBER(C254),ISNUMBER(D254),C254&gt;=0.2,C254&lt;=0.8),D254,"")</f>
        <v/>
      </c>
      <c r="F254" s="5">
        <f>IF(ISNUMBER(E254),A254,"")</f>
        <v/>
      </c>
      <c r="G254" s="5">
        <f>IF(AND(ISNUMBER(E254),ISNUMBER($K$4)),E254-($K$7+$K$4*A254),"")</f>
        <v/>
      </c>
    </row>
    <row r="255">
      <c r="A255" s="4" t="n"/>
      <c r="B255" s="4" t="n"/>
      <c r="C255" s="5">
        <f>IF(AND(ISNUMBER(A255),ISNUMBER(B255),ISNUMBER($K$2),ISNUMBER($K$3),$K$3&gt;$K$2),(B255-$K$2)/($K$3-$K$2),"")</f>
        <v/>
      </c>
      <c r="D255" s="5">
        <f>IF(ISNUMBER(C255),IF(B255&lt;$K$3,LN(($K$3-$K$2)/($K$3-B255)),""),"")</f>
        <v/>
      </c>
      <c r="E255" s="5">
        <f>IF(AND(ISNUMBER(C255),ISNUMBER(D255),C255&gt;=0.2,C255&lt;=0.8),D255,"")</f>
        <v/>
      </c>
      <c r="F255" s="5">
        <f>IF(ISNUMBER(E255),A255,"")</f>
        <v/>
      </c>
      <c r="G255" s="5">
        <f>IF(AND(ISNUMBER(E255),ISNUMBER($K$4)),E255-($K$7+$K$4*A255),"")</f>
        <v/>
      </c>
    </row>
    <row r="256">
      <c r="A256" s="4" t="n"/>
      <c r="B256" s="4" t="n"/>
      <c r="C256" s="5">
        <f>IF(AND(ISNUMBER(A256),ISNUMBER(B256),ISNUMBER($K$2),ISNUMBER($K$3),$K$3&gt;$K$2),(B256-$K$2)/($K$3-$K$2),"")</f>
        <v/>
      </c>
      <c r="D256" s="5">
        <f>IF(ISNUMBER(C256),IF(B256&lt;$K$3,LN(($K$3-$K$2)/($K$3-B256)),""),"")</f>
        <v/>
      </c>
      <c r="E256" s="5">
        <f>IF(AND(ISNUMBER(C256),ISNUMBER(D256),C256&gt;=0.2,C256&lt;=0.8),D256,"")</f>
        <v/>
      </c>
      <c r="F256" s="5">
        <f>IF(ISNUMBER(E256),A256,"")</f>
        <v/>
      </c>
      <c r="G256" s="5">
        <f>IF(AND(ISNUMBER(E256),ISNUMBER($K$4)),E256-($K$7+$K$4*A256),"")</f>
        <v/>
      </c>
    </row>
    <row r="257">
      <c r="A257" s="4" t="n"/>
      <c r="B257" s="4" t="n"/>
      <c r="C257" s="5">
        <f>IF(AND(ISNUMBER(A257),ISNUMBER(B257),ISNUMBER($K$2),ISNUMBER($K$3),$K$3&gt;$K$2),(B257-$K$2)/($K$3-$K$2),"")</f>
        <v/>
      </c>
      <c r="D257" s="5">
        <f>IF(ISNUMBER(C257),IF(B257&lt;$K$3,LN(($K$3-$K$2)/($K$3-B257)),""),"")</f>
        <v/>
      </c>
      <c r="E257" s="5">
        <f>IF(AND(ISNUMBER(C257),ISNUMBER(D257),C257&gt;=0.2,C257&lt;=0.8),D257,"")</f>
        <v/>
      </c>
      <c r="F257" s="5">
        <f>IF(ISNUMBER(E257),A257,"")</f>
        <v/>
      </c>
      <c r="G257" s="5">
        <f>IF(AND(ISNUMBER(E257),ISNUMBER($K$4)),E257-($K$7+$K$4*A257),"")</f>
        <v/>
      </c>
    </row>
    <row r="258">
      <c r="A258" s="4" t="n"/>
      <c r="B258" s="4" t="n"/>
      <c r="C258" s="5">
        <f>IF(AND(ISNUMBER(A258),ISNUMBER(B258),ISNUMBER($K$2),ISNUMBER($K$3),$K$3&gt;$K$2),(B258-$K$2)/($K$3-$K$2),"")</f>
        <v/>
      </c>
      <c r="D258" s="5">
        <f>IF(ISNUMBER(C258),IF(B258&lt;$K$3,LN(($K$3-$K$2)/($K$3-B258)),""),"")</f>
        <v/>
      </c>
      <c r="E258" s="5">
        <f>IF(AND(ISNUMBER(C258),ISNUMBER(D258),C258&gt;=0.2,C258&lt;=0.8),D258,"")</f>
        <v/>
      </c>
      <c r="F258" s="5">
        <f>IF(ISNUMBER(E258),A258,"")</f>
        <v/>
      </c>
      <c r="G258" s="5">
        <f>IF(AND(ISNUMBER(E258),ISNUMBER($K$4)),E258-($K$7+$K$4*A258),"")</f>
        <v/>
      </c>
    </row>
    <row r="259">
      <c r="A259" s="4" t="n"/>
      <c r="B259" s="4" t="n"/>
      <c r="C259" s="5">
        <f>IF(AND(ISNUMBER(A259),ISNUMBER(B259),ISNUMBER($K$2),ISNUMBER($K$3),$K$3&gt;$K$2),(B259-$K$2)/($K$3-$K$2),"")</f>
        <v/>
      </c>
      <c r="D259" s="5">
        <f>IF(ISNUMBER(C259),IF(B259&lt;$K$3,LN(($K$3-$K$2)/($K$3-B259)),""),"")</f>
        <v/>
      </c>
      <c r="E259" s="5">
        <f>IF(AND(ISNUMBER(C259),ISNUMBER(D259),C259&gt;=0.2,C259&lt;=0.8),D259,"")</f>
        <v/>
      </c>
      <c r="F259" s="5">
        <f>IF(ISNUMBER(E259),A259,"")</f>
        <v/>
      </c>
      <c r="G259" s="5">
        <f>IF(AND(ISNUMBER(E259),ISNUMBER($K$4)),E259-($K$7+$K$4*A259),"")</f>
        <v/>
      </c>
    </row>
    <row r="260">
      <c r="A260" s="4" t="n"/>
      <c r="B260" s="4" t="n"/>
      <c r="C260" s="5">
        <f>IF(AND(ISNUMBER(A260),ISNUMBER(B260),ISNUMBER($K$2),ISNUMBER($K$3),$K$3&gt;$K$2),(B260-$K$2)/($K$3-$K$2),"")</f>
        <v/>
      </c>
      <c r="D260" s="5">
        <f>IF(ISNUMBER(C260),IF(B260&lt;$K$3,LN(($K$3-$K$2)/($K$3-B260)),""),"")</f>
        <v/>
      </c>
      <c r="E260" s="5">
        <f>IF(AND(ISNUMBER(C260),ISNUMBER(D260),C260&gt;=0.2,C260&lt;=0.8),D260,"")</f>
        <v/>
      </c>
      <c r="F260" s="5">
        <f>IF(ISNUMBER(E260),A260,"")</f>
        <v/>
      </c>
      <c r="G260" s="5">
        <f>IF(AND(ISNUMBER(E260),ISNUMBER($K$4)),E260-($K$7+$K$4*A260),"")</f>
        <v/>
      </c>
    </row>
    <row r="261">
      <c r="A261" s="4" t="n"/>
      <c r="B261" s="4" t="n"/>
      <c r="C261" s="5">
        <f>IF(AND(ISNUMBER(A261),ISNUMBER(B261),ISNUMBER($K$2),ISNUMBER($K$3),$K$3&gt;$K$2),(B261-$K$2)/($K$3-$K$2),"")</f>
        <v/>
      </c>
      <c r="D261" s="5">
        <f>IF(ISNUMBER(C261),IF(B261&lt;$K$3,LN(($K$3-$K$2)/($K$3-B261)),""),"")</f>
        <v/>
      </c>
      <c r="E261" s="5">
        <f>IF(AND(ISNUMBER(C261),ISNUMBER(D261),C261&gt;=0.2,C261&lt;=0.8),D261,"")</f>
        <v/>
      </c>
      <c r="F261" s="5">
        <f>IF(ISNUMBER(E261),A261,"")</f>
        <v/>
      </c>
      <c r="G261" s="5">
        <f>IF(AND(ISNUMBER(E261),ISNUMBER($K$4)),E261-($K$7+$K$4*A261),"")</f>
        <v/>
      </c>
    </row>
    <row r="262">
      <c r="A262" s="4" t="n"/>
      <c r="B262" s="4" t="n"/>
      <c r="C262" s="5">
        <f>IF(AND(ISNUMBER(A262),ISNUMBER(B262),ISNUMBER($K$2),ISNUMBER($K$3),$K$3&gt;$K$2),(B262-$K$2)/($K$3-$K$2),"")</f>
        <v/>
      </c>
      <c r="D262" s="5">
        <f>IF(ISNUMBER(C262),IF(B262&lt;$K$3,LN(($K$3-$K$2)/($K$3-B262)),""),"")</f>
        <v/>
      </c>
      <c r="E262" s="5">
        <f>IF(AND(ISNUMBER(C262),ISNUMBER(D262),C262&gt;=0.2,C262&lt;=0.8),D262,"")</f>
        <v/>
      </c>
      <c r="F262" s="5">
        <f>IF(ISNUMBER(E262),A262,"")</f>
        <v/>
      </c>
      <c r="G262" s="5">
        <f>IF(AND(ISNUMBER(E262),ISNUMBER($K$4)),E262-($K$7+$K$4*A262),"")</f>
        <v/>
      </c>
    </row>
    <row r="263">
      <c r="A263" s="4" t="n"/>
      <c r="B263" s="4" t="n"/>
      <c r="C263" s="5">
        <f>IF(AND(ISNUMBER(A263),ISNUMBER(B263),ISNUMBER($K$2),ISNUMBER($K$3),$K$3&gt;$K$2),(B263-$K$2)/($K$3-$K$2),"")</f>
        <v/>
      </c>
      <c r="D263" s="5">
        <f>IF(ISNUMBER(C263),IF(B263&lt;$K$3,LN(($K$3-$K$2)/($K$3-B263)),""),"")</f>
        <v/>
      </c>
      <c r="E263" s="5">
        <f>IF(AND(ISNUMBER(C263),ISNUMBER(D263),C263&gt;=0.2,C263&lt;=0.8),D263,"")</f>
        <v/>
      </c>
      <c r="F263" s="5">
        <f>IF(ISNUMBER(E263),A263,"")</f>
        <v/>
      </c>
      <c r="G263" s="5">
        <f>IF(AND(ISNUMBER(E263),ISNUMBER($K$4)),E263-($K$7+$K$4*A263),"")</f>
        <v/>
      </c>
    </row>
    <row r="264">
      <c r="A264" s="4" t="n"/>
      <c r="B264" s="4" t="n"/>
      <c r="C264" s="5">
        <f>IF(AND(ISNUMBER(A264),ISNUMBER(B264),ISNUMBER($K$2),ISNUMBER($K$3),$K$3&gt;$K$2),(B264-$K$2)/($K$3-$K$2),"")</f>
        <v/>
      </c>
      <c r="D264" s="5">
        <f>IF(ISNUMBER(C264),IF(B264&lt;$K$3,LN(($K$3-$K$2)/($K$3-B264)),""),"")</f>
        <v/>
      </c>
      <c r="E264" s="5">
        <f>IF(AND(ISNUMBER(C264),ISNUMBER(D264),C264&gt;=0.2,C264&lt;=0.8),D264,"")</f>
        <v/>
      </c>
      <c r="F264" s="5">
        <f>IF(ISNUMBER(E264),A264,"")</f>
        <v/>
      </c>
      <c r="G264" s="5">
        <f>IF(AND(ISNUMBER(E264),ISNUMBER($K$4)),E264-($K$7+$K$4*A264),"")</f>
        <v/>
      </c>
    </row>
    <row r="265">
      <c r="A265" s="4" t="n"/>
      <c r="B265" s="4" t="n"/>
      <c r="C265" s="5">
        <f>IF(AND(ISNUMBER(A265),ISNUMBER(B265),ISNUMBER($K$2),ISNUMBER($K$3),$K$3&gt;$K$2),(B265-$K$2)/($K$3-$K$2),"")</f>
        <v/>
      </c>
      <c r="D265" s="5">
        <f>IF(ISNUMBER(C265),IF(B265&lt;$K$3,LN(($K$3-$K$2)/($K$3-B265)),""),"")</f>
        <v/>
      </c>
      <c r="E265" s="5">
        <f>IF(AND(ISNUMBER(C265),ISNUMBER(D265),C265&gt;=0.2,C265&lt;=0.8),D265,"")</f>
        <v/>
      </c>
      <c r="F265" s="5">
        <f>IF(ISNUMBER(E265),A265,"")</f>
        <v/>
      </c>
      <c r="G265" s="5">
        <f>IF(AND(ISNUMBER(E265),ISNUMBER($K$4)),E265-($K$7+$K$4*A265),"")</f>
        <v/>
      </c>
    </row>
    <row r="266">
      <c r="A266" s="4" t="n"/>
      <c r="B266" s="4" t="n"/>
      <c r="C266" s="5">
        <f>IF(AND(ISNUMBER(A266),ISNUMBER(B266),ISNUMBER($K$2),ISNUMBER($K$3),$K$3&gt;$K$2),(B266-$K$2)/($K$3-$K$2),"")</f>
        <v/>
      </c>
      <c r="D266" s="5">
        <f>IF(ISNUMBER(C266),IF(B266&lt;$K$3,LN(($K$3-$K$2)/($K$3-B266)),""),"")</f>
        <v/>
      </c>
      <c r="E266" s="5">
        <f>IF(AND(ISNUMBER(C266),ISNUMBER(D266),C266&gt;=0.2,C266&lt;=0.8),D266,"")</f>
        <v/>
      </c>
      <c r="F266" s="5">
        <f>IF(ISNUMBER(E266),A266,"")</f>
        <v/>
      </c>
      <c r="G266" s="5">
        <f>IF(AND(ISNUMBER(E266),ISNUMBER($K$4)),E266-($K$7+$K$4*A266),"")</f>
        <v/>
      </c>
    </row>
    <row r="267">
      <c r="A267" s="4" t="n"/>
      <c r="B267" s="4" t="n"/>
      <c r="C267" s="5">
        <f>IF(AND(ISNUMBER(A267),ISNUMBER(B267),ISNUMBER($K$2),ISNUMBER($K$3),$K$3&gt;$K$2),(B267-$K$2)/($K$3-$K$2),"")</f>
        <v/>
      </c>
      <c r="D267" s="5">
        <f>IF(ISNUMBER(C267),IF(B267&lt;$K$3,LN(($K$3-$K$2)/($K$3-B267)),""),"")</f>
        <v/>
      </c>
      <c r="E267" s="5">
        <f>IF(AND(ISNUMBER(C267),ISNUMBER(D267),C267&gt;=0.2,C267&lt;=0.8),D267,"")</f>
        <v/>
      </c>
      <c r="F267" s="5">
        <f>IF(ISNUMBER(E267),A267,"")</f>
        <v/>
      </c>
      <c r="G267" s="5">
        <f>IF(AND(ISNUMBER(E267),ISNUMBER($K$4)),E267-($K$7+$K$4*A267),"")</f>
        <v/>
      </c>
    </row>
    <row r="268">
      <c r="A268" s="4" t="n"/>
      <c r="B268" s="4" t="n"/>
      <c r="C268" s="5">
        <f>IF(AND(ISNUMBER(A268),ISNUMBER(B268),ISNUMBER($K$2),ISNUMBER($K$3),$K$3&gt;$K$2),(B268-$K$2)/($K$3-$K$2),"")</f>
        <v/>
      </c>
      <c r="D268" s="5">
        <f>IF(ISNUMBER(C268),IF(B268&lt;$K$3,LN(($K$3-$K$2)/($K$3-B268)),""),"")</f>
        <v/>
      </c>
      <c r="E268" s="5">
        <f>IF(AND(ISNUMBER(C268),ISNUMBER(D268),C268&gt;=0.2,C268&lt;=0.8),D268,"")</f>
        <v/>
      </c>
      <c r="F268" s="5">
        <f>IF(ISNUMBER(E268),A268,"")</f>
        <v/>
      </c>
      <c r="G268" s="5">
        <f>IF(AND(ISNUMBER(E268),ISNUMBER($K$4)),E268-($K$7+$K$4*A268),"")</f>
        <v/>
      </c>
    </row>
    <row r="269">
      <c r="A269" s="4" t="n"/>
      <c r="B269" s="4" t="n"/>
      <c r="C269" s="5">
        <f>IF(AND(ISNUMBER(A269),ISNUMBER(B269),ISNUMBER($K$2),ISNUMBER($K$3),$K$3&gt;$K$2),(B269-$K$2)/($K$3-$K$2),"")</f>
        <v/>
      </c>
      <c r="D269" s="5">
        <f>IF(ISNUMBER(C269),IF(B269&lt;$K$3,LN(($K$3-$K$2)/($K$3-B269)),""),"")</f>
        <v/>
      </c>
      <c r="E269" s="5">
        <f>IF(AND(ISNUMBER(C269),ISNUMBER(D269),C269&gt;=0.2,C269&lt;=0.8),D269,"")</f>
        <v/>
      </c>
      <c r="F269" s="5">
        <f>IF(ISNUMBER(E269),A269,"")</f>
        <v/>
      </c>
      <c r="G269" s="5">
        <f>IF(AND(ISNUMBER(E269),ISNUMBER($K$4)),E269-($K$7+$K$4*A269),"")</f>
        <v/>
      </c>
    </row>
    <row r="270">
      <c r="A270" s="4" t="n"/>
      <c r="B270" s="4" t="n"/>
      <c r="C270" s="5">
        <f>IF(AND(ISNUMBER(A270),ISNUMBER(B270),ISNUMBER($K$2),ISNUMBER($K$3),$K$3&gt;$K$2),(B270-$K$2)/($K$3-$K$2),"")</f>
        <v/>
      </c>
      <c r="D270" s="5">
        <f>IF(ISNUMBER(C270),IF(B270&lt;$K$3,LN(($K$3-$K$2)/($K$3-B270)),""),"")</f>
        <v/>
      </c>
      <c r="E270" s="5">
        <f>IF(AND(ISNUMBER(C270),ISNUMBER(D270),C270&gt;=0.2,C270&lt;=0.8),D270,"")</f>
        <v/>
      </c>
      <c r="F270" s="5">
        <f>IF(ISNUMBER(E270),A270,"")</f>
        <v/>
      </c>
      <c r="G270" s="5">
        <f>IF(AND(ISNUMBER(E270),ISNUMBER($K$4)),E270-($K$7+$K$4*A270),"")</f>
        <v/>
      </c>
    </row>
    <row r="271">
      <c r="A271" s="4" t="n"/>
      <c r="B271" s="4" t="n"/>
      <c r="C271" s="5">
        <f>IF(AND(ISNUMBER(A271),ISNUMBER(B271),ISNUMBER($K$2),ISNUMBER($K$3),$K$3&gt;$K$2),(B271-$K$2)/($K$3-$K$2),"")</f>
        <v/>
      </c>
      <c r="D271" s="5">
        <f>IF(ISNUMBER(C271),IF(B271&lt;$K$3,LN(($K$3-$K$2)/($K$3-B271)),""),"")</f>
        <v/>
      </c>
      <c r="E271" s="5">
        <f>IF(AND(ISNUMBER(C271),ISNUMBER(D271),C271&gt;=0.2,C271&lt;=0.8),D271,"")</f>
        <v/>
      </c>
      <c r="F271" s="5">
        <f>IF(ISNUMBER(E271),A271,"")</f>
        <v/>
      </c>
      <c r="G271" s="5">
        <f>IF(AND(ISNUMBER(E271),ISNUMBER($K$4)),E271-($K$7+$K$4*A271),"")</f>
        <v/>
      </c>
    </row>
    <row r="272">
      <c r="A272" s="4" t="n"/>
      <c r="B272" s="4" t="n"/>
      <c r="C272" s="5">
        <f>IF(AND(ISNUMBER(A272),ISNUMBER(B272),ISNUMBER($K$2),ISNUMBER($K$3),$K$3&gt;$K$2),(B272-$K$2)/($K$3-$K$2),"")</f>
        <v/>
      </c>
      <c r="D272" s="5">
        <f>IF(ISNUMBER(C272),IF(B272&lt;$K$3,LN(($K$3-$K$2)/($K$3-B272)),""),"")</f>
        <v/>
      </c>
      <c r="E272" s="5">
        <f>IF(AND(ISNUMBER(C272),ISNUMBER(D272),C272&gt;=0.2,C272&lt;=0.8),D272,"")</f>
        <v/>
      </c>
      <c r="F272" s="5">
        <f>IF(ISNUMBER(E272),A272,"")</f>
        <v/>
      </c>
      <c r="G272" s="5">
        <f>IF(AND(ISNUMBER(E272),ISNUMBER($K$4)),E272-($K$7+$K$4*A272),"")</f>
        <v/>
      </c>
    </row>
    <row r="273">
      <c r="A273" s="4" t="n"/>
      <c r="B273" s="4" t="n"/>
      <c r="C273" s="5">
        <f>IF(AND(ISNUMBER(A273),ISNUMBER(B273),ISNUMBER($K$2),ISNUMBER($K$3),$K$3&gt;$K$2),(B273-$K$2)/($K$3-$K$2),"")</f>
        <v/>
      </c>
      <c r="D273" s="5">
        <f>IF(ISNUMBER(C273),IF(B273&lt;$K$3,LN(($K$3-$K$2)/($K$3-B273)),""),"")</f>
        <v/>
      </c>
      <c r="E273" s="5">
        <f>IF(AND(ISNUMBER(C273),ISNUMBER(D273),C273&gt;=0.2,C273&lt;=0.8),D273,"")</f>
        <v/>
      </c>
      <c r="F273" s="5">
        <f>IF(ISNUMBER(E273),A273,"")</f>
        <v/>
      </c>
      <c r="G273" s="5">
        <f>IF(AND(ISNUMBER(E273),ISNUMBER($K$4)),E273-($K$7+$K$4*A273),"")</f>
        <v/>
      </c>
    </row>
    <row r="274">
      <c r="A274" s="4" t="n"/>
      <c r="B274" s="4" t="n"/>
      <c r="C274" s="5">
        <f>IF(AND(ISNUMBER(A274),ISNUMBER(B274),ISNUMBER($K$2),ISNUMBER($K$3),$K$3&gt;$K$2),(B274-$K$2)/($K$3-$K$2),"")</f>
        <v/>
      </c>
      <c r="D274" s="5">
        <f>IF(ISNUMBER(C274),IF(B274&lt;$K$3,LN(($K$3-$K$2)/($K$3-B274)),""),"")</f>
        <v/>
      </c>
      <c r="E274" s="5">
        <f>IF(AND(ISNUMBER(C274),ISNUMBER(D274),C274&gt;=0.2,C274&lt;=0.8),D274,"")</f>
        <v/>
      </c>
      <c r="F274" s="5">
        <f>IF(ISNUMBER(E274),A274,"")</f>
        <v/>
      </c>
      <c r="G274" s="5">
        <f>IF(AND(ISNUMBER(E274),ISNUMBER($K$4)),E274-($K$7+$K$4*A274),"")</f>
        <v/>
      </c>
    </row>
    <row r="275">
      <c r="A275" s="4" t="n"/>
      <c r="B275" s="4" t="n"/>
      <c r="C275" s="5">
        <f>IF(AND(ISNUMBER(A275),ISNUMBER(B275),ISNUMBER($K$2),ISNUMBER($K$3),$K$3&gt;$K$2),(B275-$K$2)/($K$3-$K$2),"")</f>
        <v/>
      </c>
      <c r="D275" s="5">
        <f>IF(ISNUMBER(C275),IF(B275&lt;$K$3,LN(($K$3-$K$2)/($K$3-B275)),""),"")</f>
        <v/>
      </c>
      <c r="E275" s="5">
        <f>IF(AND(ISNUMBER(C275),ISNUMBER(D275),C275&gt;=0.2,C275&lt;=0.8),D275,"")</f>
        <v/>
      </c>
      <c r="F275" s="5">
        <f>IF(ISNUMBER(E275),A275,"")</f>
        <v/>
      </c>
      <c r="G275" s="5">
        <f>IF(AND(ISNUMBER(E275),ISNUMBER($K$4)),E275-($K$7+$K$4*A275),"")</f>
        <v/>
      </c>
    </row>
    <row r="276">
      <c r="A276" s="4" t="n"/>
      <c r="B276" s="4" t="n"/>
      <c r="C276" s="5">
        <f>IF(AND(ISNUMBER(A276),ISNUMBER(B276),ISNUMBER($K$2),ISNUMBER($K$3),$K$3&gt;$K$2),(B276-$K$2)/($K$3-$K$2),"")</f>
        <v/>
      </c>
      <c r="D276" s="5">
        <f>IF(ISNUMBER(C276),IF(B276&lt;$K$3,LN(($K$3-$K$2)/($K$3-B276)),""),"")</f>
        <v/>
      </c>
      <c r="E276" s="5">
        <f>IF(AND(ISNUMBER(C276),ISNUMBER(D276),C276&gt;=0.2,C276&lt;=0.8),D276,"")</f>
        <v/>
      </c>
      <c r="F276" s="5">
        <f>IF(ISNUMBER(E276),A276,"")</f>
        <v/>
      </c>
      <c r="G276" s="5">
        <f>IF(AND(ISNUMBER(E276),ISNUMBER($K$4)),E276-($K$7+$K$4*A276),"")</f>
        <v/>
      </c>
    </row>
    <row r="277">
      <c r="A277" s="4" t="n"/>
      <c r="B277" s="4" t="n"/>
      <c r="C277" s="5">
        <f>IF(AND(ISNUMBER(A277),ISNUMBER(B277),ISNUMBER($K$2),ISNUMBER($K$3),$K$3&gt;$K$2),(B277-$K$2)/($K$3-$K$2),"")</f>
        <v/>
      </c>
      <c r="D277" s="5">
        <f>IF(ISNUMBER(C277),IF(B277&lt;$K$3,LN(($K$3-$K$2)/($K$3-B277)),""),"")</f>
        <v/>
      </c>
      <c r="E277" s="5">
        <f>IF(AND(ISNUMBER(C277),ISNUMBER(D277),C277&gt;=0.2,C277&lt;=0.8),D277,"")</f>
        <v/>
      </c>
      <c r="F277" s="5">
        <f>IF(ISNUMBER(E277),A277,"")</f>
        <v/>
      </c>
      <c r="G277" s="5">
        <f>IF(AND(ISNUMBER(E277),ISNUMBER($K$4)),E277-($K$7+$K$4*A277),"")</f>
        <v/>
      </c>
    </row>
    <row r="278">
      <c r="A278" s="4" t="n"/>
      <c r="B278" s="4" t="n"/>
      <c r="C278" s="5">
        <f>IF(AND(ISNUMBER(A278),ISNUMBER(B278),ISNUMBER($K$2),ISNUMBER($K$3),$K$3&gt;$K$2),(B278-$K$2)/($K$3-$K$2),"")</f>
        <v/>
      </c>
      <c r="D278" s="5">
        <f>IF(ISNUMBER(C278),IF(B278&lt;$K$3,LN(($K$3-$K$2)/($K$3-B278)),""),"")</f>
        <v/>
      </c>
      <c r="E278" s="5">
        <f>IF(AND(ISNUMBER(C278),ISNUMBER(D278),C278&gt;=0.2,C278&lt;=0.8),D278,"")</f>
        <v/>
      </c>
      <c r="F278" s="5">
        <f>IF(ISNUMBER(E278),A278,"")</f>
        <v/>
      </c>
      <c r="G278" s="5">
        <f>IF(AND(ISNUMBER(E278),ISNUMBER($K$4)),E278-($K$7+$K$4*A278),"")</f>
        <v/>
      </c>
    </row>
    <row r="279">
      <c r="A279" s="4" t="n"/>
      <c r="B279" s="4" t="n"/>
      <c r="C279" s="5">
        <f>IF(AND(ISNUMBER(A279),ISNUMBER(B279),ISNUMBER($K$2),ISNUMBER($K$3),$K$3&gt;$K$2),(B279-$K$2)/($K$3-$K$2),"")</f>
        <v/>
      </c>
      <c r="D279" s="5">
        <f>IF(ISNUMBER(C279),IF(B279&lt;$K$3,LN(($K$3-$K$2)/($K$3-B279)),""),"")</f>
        <v/>
      </c>
      <c r="E279" s="5">
        <f>IF(AND(ISNUMBER(C279),ISNUMBER(D279),C279&gt;=0.2,C279&lt;=0.8),D279,"")</f>
        <v/>
      </c>
      <c r="F279" s="5">
        <f>IF(ISNUMBER(E279),A279,"")</f>
        <v/>
      </c>
      <c r="G279" s="5">
        <f>IF(AND(ISNUMBER(E279),ISNUMBER($K$4)),E279-($K$7+$K$4*A279),"")</f>
        <v/>
      </c>
    </row>
    <row r="280">
      <c r="A280" s="4" t="n"/>
      <c r="B280" s="4" t="n"/>
      <c r="C280" s="5">
        <f>IF(AND(ISNUMBER(A280),ISNUMBER(B280),ISNUMBER($K$2),ISNUMBER($K$3),$K$3&gt;$K$2),(B280-$K$2)/($K$3-$K$2),"")</f>
        <v/>
      </c>
      <c r="D280" s="5">
        <f>IF(ISNUMBER(C280),IF(B280&lt;$K$3,LN(($K$3-$K$2)/($K$3-B280)),""),"")</f>
        <v/>
      </c>
      <c r="E280" s="5">
        <f>IF(AND(ISNUMBER(C280),ISNUMBER(D280),C280&gt;=0.2,C280&lt;=0.8),D280,"")</f>
        <v/>
      </c>
      <c r="F280" s="5">
        <f>IF(ISNUMBER(E280),A280,"")</f>
        <v/>
      </c>
      <c r="G280" s="5">
        <f>IF(AND(ISNUMBER(E280),ISNUMBER($K$4)),E280-($K$7+$K$4*A280),"")</f>
        <v/>
      </c>
    </row>
    <row r="281">
      <c r="A281" s="4" t="n"/>
      <c r="B281" s="4" t="n"/>
      <c r="C281" s="5">
        <f>IF(AND(ISNUMBER(A281),ISNUMBER(B281),ISNUMBER($K$2),ISNUMBER($K$3),$K$3&gt;$K$2),(B281-$K$2)/($K$3-$K$2),"")</f>
        <v/>
      </c>
      <c r="D281" s="5">
        <f>IF(ISNUMBER(C281),IF(B281&lt;$K$3,LN(($K$3-$K$2)/($K$3-B281)),""),"")</f>
        <v/>
      </c>
      <c r="E281" s="5">
        <f>IF(AND(ISNUMBER(C281),ISNUMBER(D281),C281&gt;=0.2,C281&lt;=0.8),D281,"")</f>
        <v/>
      </c>
      <c r="F281" s="5">
        <f>IF(ISNUMBER(E281),A281,"")</f>
        <v/>
      </c>
      <c r="G281" s="5">
        <f>IF(AND(ISNUMBER(E281),ISNUMBER($K$4)),E281-($K$7+$K$4*A281),"")</f>
        <v/>
      </c>
    </row>
    <row r="282">
      <c r="A282" s="4" t="n"/>
      <c r="B282" s="4" t="n"/>
      <c r="C282" s="5">
        <f>IF(AND(ISNUMBER(A282),ISNUMBER(B282),ISNUMBER($K$2),ISNUMBER($K$3),$K$3&gt;$K$2),(B282-$K$2)/($K$3-$K$2),"")</f>
        <v/>
      </c>
      <c r="D282" s="5">
        <f>IF(ISNUMBER(C282),IF(B282&lt;$K$3,LN(($K$3-$K$2)/($K$3-B282)),""),"")</f>
        <v/>
      </c>
      <c r="E282" s="5">
        <f>IF(AND(ISNUMBER(C282),ISNUMBER(D282),C282&gt;=0.2,C282&lt;=0.8),D282,"")</f>
        <v/>
      </c>
      <c r="F282" s="5">
        <f>IF(ISNUMBER(E282),A282,"")</f>
        <v/>
      </c>
      <c r="G282" s="5">
        <f>IF(AND(ISNUMBER(E282),ISNUMBER($K$4)),E282-($K$7+$K$4*A282),"")</f>
        <v/>
      </c>
    </row>
    <row r="283">
      <c r="A283" s="4" t="n"/>
      <c r="B283" s="4" t="n"/>
      <c r="C283" s="5">
        <f>IF(AND(ISNUMBER(A283),ISNUMBER(B283),ISNUMBER($K$2),ISNUMBER($K$3),$K$3&gt;$K$2),(B283-$K$2)/($K$3-$K$2),"")</f>
        <v/>
      </c>
      <c r="D283" s="5">
        <f>IF(ISNUMBER(C283),IF(B283&lt;$K$3,LN(($K$3-$K$2)/($K$3-B283)),""),"")</f>
        <v/>
      </c>
      <c r="E283" s="5">
        <f>IF(AND(ISNUMBER(C283),ISNUMBER(D283),C283&gt;=0.2,C283&lt;=0.8),D283,"")</f>
        <v/>
      </c>
      <c r="F283" s="5">
        <f>IF(ISNUMBER(E283),A283,"")</f>
        <v/>
      </c>
      <c r="G283" s="5">
        <f>IF(AND(ISNUMBER(E283),ISNUMBER($K$4)),E283-($K$7+$K$4*A283),"")</f>
        <v/>
      </c>
    </row>
    <row r="284">
      <c r="A284" s="4" t="n"/>
      <c r="B284" s="4" t="n"/>
      <c r="C284" s="5">
        <f>IF(AND(ISNUMBER(A284),ISNUMBER(B284),ISNUMBER($K$2),ISNUMBER($K$3),$K$3&gt;$K$2),(B284-$K$2)/($K$3-$K$2),"")</f>
        <v/>
      </c>
      <c r="D284" s="5">
        <f>IF(ISNUMBER(C284),IF(B284&lt;$K$3,LN(($K$3-$K$2)/($K$3-B284)),""),"")</f>
        <v/>
      </c>
      <c r="E284" s="5">
        <f>IF(AND(ISNUMBER(C284),ISNUMBER(D284),C284&gt;=0.2,C284&lt;=0.8),D284,"")</f>
        <v/>
      </c>
      <c r="F284" s="5">
        <f>IF(ISNUMBER(E284),A284,"")</f>
        <v/>
      </c>
      <c r="G284" s="5">
        <f>IF(AND(ISNUMBER(E284),ISNUMBER($K$4)),E284-($K$7+$K$4*A284),"")</f>
        <v/>
      </c>
    </row>
    <row r="285">
      <c r="A285" s="4" t="n"/>
      <c r="B285" s="4" t="n"/>
      <c r="C285" s="5">
        <f>IF(AND(ISNUMBER(A285),ISNUMBER(B285),ISNUMBER($K$2),ISNUMBER($K$3),$K$3&gt;$K$2),(B285-$K$2)/($K$3-$K$2),"")</f>
        <v/>
      </c>
      <c r="D285" s="5">
        <f>IF(ISNUMBER(C285),IF(B285&lt;$K$3,LN(($K$3-$K$2)/($K$3-B285)),""),"")</f>
        <v/>
      </c>
      <c r="E285" s="5">
        <f>IF(AND(ISNUMBER(C285),ISNUMBER(D285),C285&gt;=0.2,C285&lt;=0.8),D285,"")</f>
        <v/>
      </c>
      <c r="F285" s="5">
        <f>IF(ISNUMBER(E285),A285,"")</f>
        <v/>
      </c>
      <c r="G285" s="5">
        <f>IF(AND(ISNUMBER(E285),ISNUMBER($K$4)),E285-($K$7+$K$4*A285),"")</f>
        <v/>
      </c>
    </row>
    <row r="286">
      <c r="A286" s="4" t="n"/>
      <c r="B286" s="4" t="n"/>
      <c r="C286" s="5">
        <f>IF(AND(ISNUMBER(A286),ISNUMBER(B286),ISNUMBER($K$2),ISNUMBER($K$3),$K$3&gt;$K$2),(B286-$K$2)/($K$3-$K$2),"")</f>
        <v/>
      </c>
      <c r="D286" s="5">
        <f>IF(ISNUMBER(C286),IF(B286&lt;$K$3,LN(($K$3-$K$2)/($K$3-B286)),""),"")</f>
        <v/>
      </c>
      <c r="E286" s="5">
        <f>IF(AND(ISNUMBER(C286),ISNUMBER(D286),C286&gt;=0.2,C286&lt;=0.8),D286,"")</f>
        <v/>
      </c>
      <c r="F286" s="5">
        <f>IF(ISNUMBER(E286),A286,"")</f>
        <v/>
      </c>
      <c r="G286" s="5">
        <f>IF(AND(ISNUMBER(E286),ISNUMBER($K$4)),E286-($K$7+$K$4*A286),"")</f>
        <v/>
      </c>
    </row>
    <row r="287">
      <c r="A287" s="4" t="n"/>
      <c r="B287" s="4" t="n"/>
      <c r="C287" s="5">
        <f>IF(AND(ISNUMBER(A287),ISNUMBER(B287),ISNUMBER($K$2),ISNUMBER($K$3),$K$3&gt;$K$2),(B287-$K$2)/($K$3-$K$2),"")</f>
        <v/>
      </c>
      <c r="D287" s="5">
        <f>IF(ISNUMBER(C287),IF(B287&lt;$K$3,LN(($K$3-$K$2)/($K$3-B287)),""),"")</f>
        <v/>
      </c>
      <c r="E287" s="5">
        <f>IF(AND(ISNUMBER(C287),ISNUMBER(D287),C287&gt;=0.2,C287&lt;=0.8),D287,"")</f>
        <v/>
      </c>
      <c r="F287" s="5">
        <f>IF(ISNUMBER(E287),A287,"")</f>
        <v/>
      </c>
      <c r="G287" s="5">
        <f>IF(AND(ISNUMBER(E287),ISNUMBER($K$4)),E287-($K$7+$K$4*A287),"")</f>
        <v/>
      </c>
    </row>
    <row r="288">
      <c r="A288" s="4" t="n"/>
      <c r="B288" s="4" t="n"/>
      <c r="C288" s="5">
        <f>IF(AND(ISNUMBER(A288),ISNUMBER(B288),ISNUMBER($K$2),ISNUMBER($K$3),$K$3&gt;$K$2),(B288-$K$2)/($K$3-$K$2),"")</f>
        <v/>
      </c>
      <c r="D288" s="5">
        <f>IF(ISNUMBER(C288),IF(B288&lt;$K$3,LN(($K$3-$K$2)/($K$3-B288)),""),"")</f>
        <v/>
      </c>
      <c r="E288" s="5">
        <f>IF(AND(ISNUMBER(C288),ISNUMBER(D288),C288&gt;=0.2,C288&lt;=0.8),D288,"")</f>
        <v/>
      </c>
      <c r="F288" s="5">
        <f>IF(ISNUMBER(E288),A288,"")</f>
        <v/>
      </c>
      <c r="G288" s="5">
        <f>IF(AND(ISNUMBER(E288),ISNUMBER($K$4)),E288-($K$7+$K$4*A288),"")</f>
        <v/>
      </c>
    </row>
    <row r="289">
      <c r="A289" s="4" t="n"/>
      <c r="B289" s="4" t="n"/>
      <c r="C289" s="5">
        <f>IF(AND(ISNUMBER(A289),ISNUMBER(B289),ISNUMBER($K$2),ISNUMBER($K$3),$K$3&gt;$K$2),(B289-$K$2)/($K$3-$K$2),"")</f>
        <v/>
      </c>
      <c r="D289" s="5">
        <f>IF(ISNUMBER(C289),IF(B289&lt;$K$3,LN(($K$3-$K$2)/($K$3-B289)),""),"")</f>
        <v/>
      </c>
      <c r="E289" s="5">
        <f>IF(AND(ISNUMBER(C289),ISNUMBER(D289),C289&gt;=0.2,C289&lt;=0.8),D289,"")</f>
        <v/>
      </c>
      <c r="F289" s="5">
        <f>IF(ISNUMBER(E289),A289,"")</f>
        <v/>
      </c>
      <c r="G289" s="5">
        <f>IF(AND(ISNUMBER(E289),ISNUMBER($K$4)),E289-($K$7+$K$4*A289),"")</f>
        <v/>
      </c>
    </row>
    <row r="290">
      <c r="A290" s="4" t="n"/>
      <c r="B290" s="4" t="n"/>
      <c r="C290" s="5">
        <f>IF(AND(ISNUMBER(A290),ISNUMBER(B290),ISNUMBER($K$2),ISNUMBER($K$3),$K$3&gt;$K$2),(B290-$K$2)/($K$3-$K$2),"")</f>
        <v/>
      </c>
      <c r="D290" s="5">
        <f>IF(ISNUMBER(C290),IF(B290&lt;$K$3,LN(($K$3-$K$2)/($K$3-B290)),""),"")</f>
        <v/>
      </c>
      <c r="E290" s="5">
        <f>IF(AND(ISNUMBER(C290),ISNUMBER(D290),C290&gt;=0.2,C290&lt;=0.8),D290,"")</f>
        <v/>
      </c>
      <c r="F290" s="5">
        <f>IF(ISNUMBER(E290),A290,"")</f>
        <v/>
      </c>
      <c r="G290" s="5">
        <f>IF(AND(ISNUMBER(E290),ISNUMBER($K$4)),E290-($K$7+$K$4*A290),"")</f>
        <v/>
      </c>
    </row>
    <row r="291">
      <c r="A291" s="4" t="n"/>
      <c r="B291" s="4" t="n"/>
      <c r="C291" s="5">
        <f>IF(AND(ISNUMBER(A291),ISNUMBER(B291),ISNUMBER($K$2),ISNUMBER($K$3),$K$3&gt;$K$2),(B291-$K$2)/($K$3-$K$2),"")</f>
        <v/>
      </c>
      <c r="D291" s="5">
        <f>IF(ISNUMBER(C291),IF(B291&lt;$K$3,LN(($K$3-$K$2)/($K$3-B291)),""),"")</f>
        <v/>
      </c>
      <c r="E291" s="5">
        <f>IF(AND(ISNUMBER(C291),ISNUMBER(D291),C291&gt;=0.2,C291&lt;=0.8),D291,"")</f>
        <v/>
      </c>
      <c r="F291" s="5">
        <f>IF(ISNUMBER(E291),A291,"")</f>
        <v/>
      </c>
      <c r="G291" s="5">
        <f>IF(AND(ISNUMBER(E291),ISNUMBER($K$4)),E291-($K$7+$K$4*A291),"")</f>
        <v/>
      </c>
    </row>
    <row r="292">
      <c r="A292" s="4" t="n"/>
      <c r="B292" s="4" t="n"/>
      <c r="C292" s="5">
        <f>IF(AND(ISNUMBER(A292),ISNUMBER(B292),ISNUMBER($K$2),ISNUMBER($K$3),$K$3&gt;$K$2),(B292-$K$2)/($K$3-$K$2),"")</f>
        <v/>
      </c>
      <c r="D292" s="5">
        <f>IF(ISNUMBER(C292),IF(B292&lt;$K$3,LN(($K$3-$K$2)/($K$3-B292)),""),"")</f>
        <v/>
      </c>
      <c r="E292" s="5">
        <f>IF(AND(ISNUMBER(C292),ISNUMBER(D292),C292&gt;=0.2,C292&lt;=0.8),D292,"")</f>
        <v/>
      </c>
      <c r="F292" s="5">
        <f>IF(ISNUMBER(E292),A292,"")</f>
        <v/>
      </c>
      <c r="G292" s="5">
        <f>IF(AND(ISNUMBER(E292),ISNUMBER($K$4)),E292-($K$7+$K$4*A292),"")</f>
        <v/>
      </c>
    </row>
    <row r="293">
      <c r="A293" s="4" t="n"/>
      <c r="B293" s="4" t="n"/>
      <c r="C293" s="5">
        <f>IF(AND(ISNUMBER(A293),ISNUMBER(B293),ISNUMBER($K$2),ISNUMBER($K$3),$K$3&gt;$K$2),(B293-$K$2)/($K$3-$K$2),"")</f>
        <v/>
      </c>
      <c r="D293" s="5">
        <f>IF(ISNUMBER(C293),IF(B293&lt;$K$3,LN(($K$3-$K$2)/($K$3-B293)),""),"")</f>
        <v/>
      </c>
      <c r="E293" s="5">
        <f>IF(AND(ISNUMBER(C293),ISNUMBER(D293),C293&gt;=0.2,C293&lt;=0.8),D293,"")</f>
        <v/>
      </c>
      <c r="F293" s="5">
        <f>IF(ISNUMBER(E293),A293,"")</f>
        <v/>
      </c>
      <c r="G293" s="5">
        <f>IF(AND(ISNUMBER(E293),ISNUMBER($K$4)),E293-($K$7+$K$4*A293),"")</f>
        <v/>
      </c>
    </row>
    <row r="294">
      <c r="A294" s="4" t="n"/>
      <c r="B294" s="4" t="n"/>
      <c r="C294" s="5">
        <f>IF(AND(ISNUMBER(A294),ISNUMBER(B294),ISNUMBER($K$2),ISNUMBER($K$3),$K$3&gt;$K$2),(B294-$K$2)/($K$3-$K$2),"")</f>
        <v/>
      </c>
      <c r="D294" s="5">
        <f>IF(ISNUMBER(C294),IF(B294&lt;$K$3,LN(($K$3-$K$2)/($K$3-B294)),""),"")</f>
        <v/>
      </c>
      <c r="E294" s="5">
        <f>IF(AND(ISNUMBER(C294),ISNUMBER(D294),C294&gt;=0.2,C294&lt;=0.8),D294,"")</f>
        <v/>
      </c>
      <c r="F294" s="5">
        <f>IF(ISNUMBER(E294),A294,"")</f>
        <v/>
      </c>
      <c r="G294" s="5">
        <f>IF(AND(ISNUMBER(E294),ISNUMBER($K$4)),E294-($K$7+$K$4*A294),"")</f>
        <v/>
      </c>
    </row>
    <row r="295">
      <c r="A295" s="4" t="n"/>
      <c r="B295" s="4" t="n"/>
      <c r="C295" s="5">
        <f>IF(AND(ISNUMBER(A295),ISNUMBER(B295),ISNUMBER($K$2),ISNUMBER($K$3),$K$3&gt;$K$2),(B295-$K$2)/($K$3-$K$2),"")</f>
        <v/>
      </c>
      <c r="D295" s="5">
        <f>IF(ISNUMBER(C295),IF(B295&lt;$K$3,LN(($K$3-$K$2)/($K$3-B295)),""),"")</f>
        <v/>
      </c>
      <c r="E295" s="5">
        <f>IF(AND(ISNUMBER(C295),ISNUMBER(D295),C295&gt;=0.2,C295&lt;=0.8),D295,"")</f>
        <v/>
      </c>
      <c r="F295" s="5">
        <f>IF(ISNUMBER(E295),A295,"")</f>
        <v/>
      </c>
      <c r="G295" s="5">
        <f>IF(AND(ISNUMBER(E295),ISNUMBER($K$4)),E295-($K$7+$K$4*A295),"")</f>
        <v/>
      </c>
    </row>
    <row r="296">
      <c r="A296" s="4" t="n"/>
      <c r="B296" s="4" t="n"/>
      <c r="C296" s="5">
        <f>IF(AND(ISNUMBER(A296),ISNUMBER(B296),ISNUMBER($K$2),ISNUMBER($K$3),$K$3&gt;$K$2),(B296-$K$2)/($K$3-$K$2),"")</f>
        <v/>
      </c>
      <c r="D296" s="5">
        <f>IF(ISNUMBER(C296),IF(B296&lt;$K$3,LN(($K$3-$K$2)/($K$3-B296)),""),"")</f>
        <v/>
      </c>
      <c r="E296" s="5">
        <f>IF(AND(ISNUMBER(C296),ISNUMBER(D296),C296&gt;=0.2,C296&lt;=0.8),D296,"")</f>
        <v/>
      </c>
      <c r="F296" s="5">
        <f>IF(ISNUMBER(E296),A296,"")</f>
        <v/>
      </c>
      <c r="G296" s="5">
        <f>IF(AND(ISNUMBER(E296),ISNUMBER($K$4)),E296-($K$7+$K$4*A296),"")</f>
        <v/>
      </c>
    </row>
    <row r="297">
      <c r="A297" s="4" t="n"/>
      <c r="B297" s="4" t="n"/>
      <c r="C297" s="5">
        <f>IF(AND(ISNUMBER(A297),ISNUMBER(B297),ISNUMBER($K$2),ISNUMBER($K$3),$K$3&gt;$K$2),(B297-$K$2)/($K$3-$K$2),"")</f>
        <v/>
      </c>
      <c r="D297" s="5">
        <f>IF(ISNUMBER(C297),IF(B297&lt;$K$3,LN(($K$3-$K$2)/($K$3-B297)),""),"")</f>
        <v/>
      </c>
      <c r="E297" s="5">
        <f>IF(AND(ISNUMBER(C297),ISNUMBER(D297),C297&gt;=0.2,C297&lt;=0.8),D297,"")</f>
        <v/>
      </c>
      <c r="F297" s="5">
        <f>IF(ISNUMBER(E297),A297,"")</f>
        <v/>
      </c>
      <c r="G297" s="5">
        <f>IF(AND(ISNUMBER(E297),ISNUMBER($K$4)),E297-($K$7+$K$4*A297),"")</f>
        <v/>
      </c>
    </row>
    <row r="298">
      <c r="A298" s="4" t="n"/>
      <c r="B298" s="4" t="n"/>
      <c r="C298" s="5">
        <f>IF(AND(ISNUMBER(A298),ISNUMBER(B298),ISNUMBER($K$2),ISNUMBER($K$3),$K$3&gt;$K$2),(B298-$K$2)/($K$3-$K$2),"")</f>
        <v/>
      </c>
      <c r="D298" s="5">
        <f>IF(ISNUMBER(C298),IF(B298&lt;$K$3,LN(($K$3-$K$2)/($K$3-B298)),""),"")</f>
        <v/>
      </c>
      <c r="E298" s="5">
        <f>IF(AND(ISNUMBER(C298),ISNUMBER(D298),C298&gt;=0.2,C298&lt;=0.8),D298,"")</f>
        <v/>
      </c>
      <c r="F298" s="5">
        <f>IF(ISNUMBER(E298),A298,"")</f>
        <v/>
      </c>
      <c r="G298" s="5">
        <f>IF(AND(ISNUMBER(E298),ISNUMBER($K$4)),E298-($K$7+$K$4*A298),"")</f>
        <v/>
      </c>
    </row>
    <row r="299">
      <c r="A299" s="4" t="n"/>
      <c r="B299" s="4" t="n"/>
      <c r="C299" s="5">
        <f>IF(AND(ISNUMBER(A299),ISNUMBER(B299),ISNUMBER($K$2),ISNUMBER($K$3),$K$3&gt;$K$2),(B299-$K$2)/($K$3-$K$2),"")</f>
        <v/>
      </c>
      <c r="D299" s="5">
        <f>IF(ISNUMBER(C299),IF(B299&lt;$K$3,LN(($K$3-$K$2)/($K$3-B299)),""),"")</f>
        <v/>
      </c>
      <c r="E299" s="5">
        <f>IF(AND(ISNUMBER(C299),ISNUMBER(D299),C299&gt;=0.2,C299&lt;=0.8),D299,"")</f>
        <v/>
      </c>
      <c r="F299" s="5">
        <f>IF(ISNUMBER(E299),A299,"")</f>
        <v/>
      </c>
      <c r="G299" s="5">
        <f>IF(AND(ISNUMBER(E299),ISNUMBER($K$4)),E299-($K$7+$K$4*A299),"")</f>
        <v/>
      </c>
    </row>
    <row r="300">
      <c r="A300" s="4" t="n"/>
      <c r="B300" s="4" t="n"/>
      <c r="C300" s="5">
        <f>IF(AND(ISNUMBER(A300),ISNUMBER(B300),ISNUMBER($K$2),ISNUMBER($K$3),$K$3&gt;$K$2),(B300-$K$2)/($K$3-$K$2),"")</f>
        <v/>
      </c>
      <c r="D300" s="5">
        <f>IF(ISNUMBER(C300),IF(B300&lt;$K$3,LN(($K$3-$K$2)/($K$3-B300)),""),"")</f>
        <v/>
      </c>
      <c r="E300" s="5">
        <f>IF(AND(ISNUMBER(C300),ISNUMBER(D300),C300&gt;=0.2,C300&lt;=0.8),D300,"")</f>
        <v/>
      </c>
      <c r="F300" s="5">
        <f>IF(ISNUMBER(E300),A300,"")</f>
        <v/>
      </c>
      <c r="G300" s="5">
        <f>IF(AND(ISNUMBER(E300),ISNUMBER($K$4)),E300-($K$7+$K$4*A300),"")</f>
        <v/>
      </c>
    </row>
    <row r="301">
      <c r="A301" s="4" t="n"/>
      <c r="B301" s="4" t="n"/>
      <c r="C301" s="5">
        <f>IF(AND(ISNUMBER(A301),ISNUMBER(B301),ISNUMBER($K$2),ISNUMBER($K$3),$K$3&gt;$K$2),(B301-$K$2)/($K$3-$K$2),"")</f>
        <v/>
      </c>
      <c r="D301" s="5">
        <f>IF(ISNUMBER(C301),IF(B301&lt;$K$3,LN(($K$3-$K$2)/($K$3-B301)),""),"")</f>
        <v/>
      </c>
      <c r="E301" s="5">
        <f>IF(AND(ISNUMBER(C301),ISNUMBER(D301),C301&gt;=0.2,C301&lt;=0.8),D301,"")</f>
        <v/>
      </c>
      <c r="F301" s="5">
        <f>IF(ISNUMBER(E301),A301,"")</f>
        <v/>
      </c>
      <c r="G301" s="5">
        <f>IF(AND(ISNUMBER(E301),ISNUMBER($K$4)),E301-($K$7+$K$4*A301),"")</f>
        <v/>
      </c>
    </row>
    <row r="302">
      <c r="A302" s="4" t="n"/>
      <c r="B302" s="4" t="n"/>
      <c r="C302" s="5">
        <f>IF(AND(ISNUMBER(A302),ISNUMBER(B302),ISNUMBER($K$2),ISNUMBER($K$3),$K$3&gt;$K$2),(B302-$K$2)/($K$3-$K$2),"")</f>
        <v/>
      </c>
      <c r="D302" s="5">
        <f>IF(ISNUMBER(C302),IF(B302&lt;$K$3,LN(($K$3-$K$2)/($K$3-B302)),""),"")</f>
        <v/>
      </c>
      <c r="E302" s="5">
        <f>IF(AND(ISNUMBER(C302),ISNUMBER(D302),C302&gt;=0.2,C302&lt;=0.8),D302,"")</f>
        <v/>
      </c>
      <c r="F302" s="5">
        <f>IF(ISNUMBER(E302),A302,"")</f>
        <v/>
      </c>
      <c r="G302" s="5">
        <f>IF(AND(ISNUMBER(E302),ISNUMBER($K$4)),E302-($K$7+$K$4*A302),"")</f>
        <v/>
      </c>
    </row>
    <row r="303">
      <c r="A303" s="4" t="n"/>
      <c r="B303" s="4" t="n"/>
      <c r="C303" s="5">
        <f>IF(AND(ISNUMBER(A303),ISNUMBER(B303),ISNUMBER($K$2),ISNUMBER($K$3),$K$3&gt;$K$2),(B303-$K$2)/($K$3-$K$2),"")</f>
        <v/>
      </c>
      <c r="D303" s="5">
        <f>IF(ISNUMBER(C303),IF(B303&lt;$K$3,LN(($K$3-$K$2)/($K$3-B303)),""),"")</f>
        <v/>
      </c>
      <c r="E303" s="5">
        <f>IF(AND(ISNUMBER(C303),ISNUMBER(D303),C303&gt;=0.2,C303&lt;=0.8),D303,"")</f>
        <v/>
      </c>
      <c r="F303" s="5">
        <f>IF(ISNUMBER(E303),A303,"")</f>
        <v/>
      </c>
      <c r="G303" s="5">
        <f>IF(AND(ISNUMBER(E303),ISNUMBER($K$4)),E303-($K$7+$K$4*A303),"")</f>
        <v/>
      </c>
    </row>
    <row r="304">
      <c r="A304" s="4" t="n"/>
      <c r="B304" s="4" t="n"/>
      <c r="C304" s="5">
        <f>IF(AND(ISNUMBER(A304),ISNUMBER(B304),ISNUMBER($K$2),ISNUMBER($K$3),$K$3&gt;$K$2),(B304-$K$2)/($K$3-$K$2),"")</f>
        <v/>
      </c>
      <c r="D304" s="5">
        <f>IF(ISNUMBER(C304),IF(B304&lt;$K$3,LN(($K$3-$K$2)/($K$3-B304)),""),"")</f>
        <v/>
      </c>
      <c r="E304" s="5">
        <f>IF(AND(ISNUMBER(C304),ISNUMBER(D304),C304&gt;=0.2,C304&lt;=0.8),D304,"")</f>
        <v/>
      </c>
      <c r="F304" s="5">
        <f>IF(ISNUMBER(E304),A304,"")</f>
        <v/>
      </c>
      <c r="G304" s="5">
        <f>IF(AND(ISNUMBER(E304),ISNUMBER($K$4)),E304-($K$7+$K$4*A304),"")</f>
        <v/>
      </c>
    </row>
    <row r="305">
      <c r="A305" s="4" t="n"/>
      <c r="B305" s="4" t="n"/>
      <c r="C305" s="5">
        <f>IF(AND(ISNUMBER(A305),ISNUMBER(B305),ISNUMBER($K$2),ISNUMBER($K$3),$K$3&gt;$K$2),(B305-$K$2)/($K$3-$K$2),"")</f>
        <v/>
      </c>
      <c r="D305" s="5">
        <f>IF(ISNUMBER(C305),IF(B305&lt;$K$3,LN(($K$3-$K$2)/($K$3-B305)),""),"")</f>
        <v/>
      </c>
      <c r="E305" s="5">
        <f>IF(AND(ISNUMBER(C305),ISNUMBER(D305),C305&gt;=0.2,C305&lt;=0.8),D305,"")</f>
        <v/>
      </c>
      <c r="F305" s="5">
        <f>IF(ISNUMBER(E305),A305,"")</f>
        <v/>
      </c>
      <c r="G305" s="5">
        <f>IF(AND(ISNUMBER(E305),ISNUMBER($K$4)),E305-($K$7+$K$4*A305),"")</f>
        <v/>
      </c>
    </row>
    <row r="306">
      <c r="A306" s="4" t="n"/>
      <c r="B306" s="4" t="n"/>
      <c r="C306" s="5">
        <f>IF(AND(ISNUMBER(A306),ISNUMBER(B306),ISNUMBER($K$2),ISNUMBER($K$3),$K$3&gt;$K$2),(B306-$K$2)/($K$3-$K$2),"")</f>
        <v/>
      </c>
      <c r="D306" s="5">
        <f>IF(ISNUMBER(C306),IF(B306&lt;$K$3,LN(($K$3-$K$2)/($K$3-B306)),""),"")</f>
        <v/>
      </c>
      <c r="E306" s="5">
        <f>IF(AND(ISNUMBER(C306),ISNUMBER(D306),C306&gt;=0.2,C306&lt;=0.8),D306,"")</f>
        <v/>
      </c>
      <c r="F306" s="5">
        <f>IF(ISNUMBER(E306),A306,"")</f>
        <v/>
      </c>
      <c r="G306" s="5">
        <f>IF(AND(ISNUMBER(E306),ISNUMBER($K$4)),E306-($K$7+$K$4*A306),"")</f>
        <v/>
      </c>
    </row>
    <row r="307">
      <c r="A307" s="4" t="n"/>
      <c r="B307" s="4" t="n"/>
      <c r="C307" s="5">
        <f>IF(AND(ISNUMBER(A307),ISNUMBER(B307),ISNUMBER($K$2),ISNUMBER($K$3),$K$3&gt;$K$2),(B307-$K$2)/($K$3-$K$2),"")</f>
        <v/>
      </c>
      <c r="D307" s="5">
        <f>IF(ISNUMBER(C307),IF(B307&lt;$K$3,LN(($K$3-$K$2)/($K$3-B307)),""),"")</f>
        <v/>
      </c>
      <c r="E307" s="5">
        <f>IF(AND(ISNUMBER(C307),ISNUMBER(D307),C307&gt;=0.2,C307&lt;=0.8),D307,"")</f>
        <v/>
      </c>
      <c r="F307" s="5">
        <f>IF(ISNUMBER(E307),A307,"")</f>
        <v/>
      </c>
      <c r="G307" s="5">
        <f>IF(AND(ISNUMBER(E307),ISNUMBER($K$4)),E307-($K$7+$K$4*A307),"")</f>
        <v/>
      </c>
    </row>
    <row r="308">
      <c r="A308" s="4" t="n"/>
      <c r="B308" s="4" t="n"/>
      <c r="C308" s="5">
        <f>IF(AND(ISNUMBER(A308),ISNUMBER(B308),ISNUMBER($K$2),ISNUMBER($K$3),$K$3&gt;$K$2),(B308-$K$2)/($K$3-$K$2),"")</f>
        <v/>
      </c>
      <c r="D308" s="5">
        <f>IF(ISNUMBER(C308),IF(B308&lt;$K$3,LN(($K$3-$K$2)/($K$3-B308)),""),"")</f>
        <v/>
      </c>
      <c r="E308" s="5">
        <f>IF(AND(ISNUMBER(C308),ISNUMBER(D308),C308&gt;=0.2,C308&lt;=0.8),D308,"")</f>
        <v/>
      </c>
      <c r="F308" s="5">
        <f>IF(ISNUMBER(E308),A308,"")</f>
        <v/>
      </c>
      <c r="G308" s="5">
        <f>IF(AND(ISNUMBER(E308),ISNUMBER($K$4)),E308-($K$7+$K$4*A308),"")</f>
        <v/>
      </c>
    </row>
  </sheetData>
  <autoFilter ref="A8:G30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2026-10-24T06:11:05Z</dcterms:created>
  <dcterms:modified xmlns:dcterms="http://purl.org/dc/terms/" xmlns:xsi="http://www.w3.org/2001/XMLSchema-instance" xsi:type="dcterms:W3CDTF">2026-10-24T06:11:05Z</dcterms:modified>
</cp:coreProperties>
</file>